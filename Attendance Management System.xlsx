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Attendance sheet" sheetId="1" r:id="rId1"/>
    <sheet name="Pivot Table" sheetId="11" r:id="rId2"/>
    <sheet name="Sheet2" sheetId="8" r:id="rId3"/>
    <sheet name="Month Name " sheetId="5" r:id="rId4"/>
  </sheets>
  <calcPr calcId="144525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AQ37" i="1" l="1"/>
  <c r="AP37" i="1"/>
  <c r="AO37" i="1"/>
  <c r="AN37" i="1"/>
  <c r="AR37" i="1" s="1"/>
  <c r="AS37" i="1" s="1"/>
  <c r="AQ36" i="1"/>
  <c r="AP36" i="1"/>
  <c r="AO36" i="1"/>
  <c r="AN36" i="1"/>
  <c r="AQ35" i="1"/>
  <c r="AP35" i="1"/>
  <c r="AO35" i="1"/>
  <c r="AN35" i="1"/>
  <c r="AR35" i="1" s="1"/>
  <c r="AS35" i="1" s="1"/>
  <c r="AQ34" i="1"/>
  <c r="AP34" i="1"/>
  <c r="AO34" i="1"/>
  <c r="AN34" i="1"/>
  <c r="AQ33" i="1"/>
  <c r="AP33" i="1"/>
  <c r="AO33" i="1"/>
  <c r="AN33" i="1"/>
  <c r="AR33" i="1" s="1"/>
  <c r="AS33" i="1" s="1"/>
  <c r="AQ32" i="1"/>
  <c r="AP32" i="1"/>
  <c r="AO32" i="1"/>
  <c r="AN32" i="1"/>
  <c r="AQ31" i="1"/>
  <c r="AP31" i="1"/>
  <c r="AO31" i="1"/>
  <c r="AN31" i="1"/>
  <c r="AR31" i="1" s="1"/>
  <c r="AS31" i="1" s="1"/>
  <c r="AQ30" i="1"/>
  <c r="AP30" i="1"/>
  <c r="AO30" i="1"/>
  <c r="AN30" i="1"/>
  <c r="AQ29" i="1"/>
  <c r="AP29" i="1"/>
  <c r="AO29" i="1"/>
  <c r="AN29" i="1"/>
  <c r="AR29" i="1" s="1"/>
  <c r="AS29" i="1" s="1"/>
  <c r="AQ28" i="1"/>
  <c r="AP28" i="1"/>
  <c r="AO28" i="1"/>
  <c r="AN28" i="1"/>
  <c r="AQ27" i="1"/>
  <c r="AP27" i="1"/>
  <c r="AO27" i="1"/>
  <c r="AN27" i="1"/>
  <c r="AR27" i="1" s="1"/>
  <c r="AS27" i="1" s="1"/>
  <c r="AQ26" i="1"/>
  <c r="AP26" i="1"/>
  <c r="AO26" i="1"/>
  <c r="AN26" i="1"/>
  <c r="AQ25" i="1"/>
  <c r="AP25" i="1"/>
  <c r="AO25" i="1"/>
  <c r="AN25" i="1"/>
  <c r="AR25" i="1" s="1"/>
  <c r="AS25" i="1" s="1"/>
  <c r="AQ24" i="1"/>
  <c r="AP24" i="1"/>
  <c r="AO24" i="1"/>
  <c r="AN24" i="1"/>
  <c r="AQ23" i="1"/>
  <c r="AP23" i="1"/>
  <c r="AO23" i="1"/>
  <c r="AN23" i="1"/>
  <c r="AR23" i="1" s="1"/>
  <c r="AQ22" i="1"/>
  <c r="AP22" i="1"/>
  <c r="AO22" i="1"/>
  <c r="AN22" i="1"/>
  <c r="AQ21" i="1"/>
  <c r="AP21" i="1"/>
  <c r="AO21" i="1"/>
  <c r="AN21" i="1"/>
  <c r="AR21" i="1" s="1"/>
  <c r="AQ20" i="1"/>
  <c r="AP20" i="1"/>
  <c r="AO20" i="1"/>
  <c r="AN20" i="1"/>
  <c r="AQ19" i="1"/>
  <c r="AP19" i="1"/>
  <c r="AO19" i="1"/>
  <c r="AN19" i="1"/>
  <c r="AR19" i="1" s="1"/>
  <c r="AS19" i="1" s="1"/>
  <c r="AQ18" i="1"/>
  <c r="AP18" i="1"/>
  <c r="AO18" i="1"/>
  <c r="AN18" i="1"/>
  <c r="AQ17" i="1"/>
  <c r="AP17" i="1"/>
  <c r="AO17" i="1"/>
  <c r="AN17" i="1"/>
  <c r="AR17" i="1" s="1"/>
  <c r="AQ16" i="1"/>
  <c r="AP16" i="1"/>
  <c r="AO16" i="1"/>
  <c r="AN16" i="1"/>
  <c r="AQ15" i="1"/>
  <c r="AP15" i="1"/>
  <c r="AO15" i="1"/>
  <c r="AN15" i="1"/>
  <c r="AR15" i="1" s="1"/>
  <c r="AQ14" i="1"/>
  <c r="AP14" i="1"/>
  <c r="AO14" i="1"/>
  <c r="AN14" i="1"/>
  <c r="AQ13" i="1"/>
  <c r="AP13" i="1"/>
  <c r="AO13" i="1"/>
  <c r="AN13" i="1"/>
  <c r="AR13" i="1" s="1"/>
  <c r="AS13" i="1" s="1"/>
  <c r="AQ12" i="1"/>
  <c r="AP12" i="1"/>
  <c r="AO12" i="1"/>
  <c r="AR12" i="1" s="1"/>
  <c r="AS12" i="1" s="1"/>
  <c r="AN12" i="1"/>
  <c r="AQ11" i="1"/>
  <c r="AP11" i="1"/>
  <c r="AO11" i="1"/>
  <c r="AR11" i="1" s="1"/>
  <c r="AS11" i="1" s="1"/>
  <c r="AN11" i="1"/>
  <c r="AQ10" i="1"/>
  <c r="AP10" i="1"/>
  <c r="AO10" i="1"/>
  <c r="AR10" i="1" s="1"/>
  <c r="AS10" i="1" s="1"/>
  <c r="AN10" i="1"/>
  <c r="AQ9" i="1"/>
  <c r="AP9" i="1"/>
  <c r="AO9" i="1"/>
  <c r="AN9" i="1"/>
  <c r="AQ8" i="1"/>
  <c r="AO8" i="1"/>
  <c r="AN8" i="1"/>
  <c r="AR32" i="1" l="1"/>
  <c r="AS32" i="1" s="1"/>
  <c r="AR9" i="1"/>
  <c r="AS9" i="1" s="1"/>
  <c r="AR18" i="1"/>
  <c r="AS18" i="1" s="1"/>
  <c r="AR24" i="1"/>
  <c r="AS24" i="1" s="1"/>
  <c r="AR30" i="1"/>
  <c r="AS30" i="1" s="1"/>
  <c r="AR36" i="1"/>
  <c r="AS36" i="1" s="1"/>
  <c r="AR26" i="1"/>
  <c r="AS26" i="1" s="1"/>
  <c r="AR20" i="1"/>
  <c r="AS20" i="1" s="1"/>
  <c r="AR8" i="1"/>
  <c r="AS8" i="1" s="1"/>
  <c r="AR14" i="1"/>
  <c r="AS14" i="1" s="1"/>
  <c r="AR16" i="1"/>
  <c r="AS16" i="1" s="1"/>
  <c r="AR22" i="1"/>
  <c r="AS22" i="1" s="1"/>
  <c r="AR28" i="1"/>
  <c r="AS28" i="1" s="1"/>
  <c r="AR34" i="1"/>
  <c r="AS34" i="1" s="1"/>
  <c r="AS15" i="1"/>
  <c r="AS17" i="1"/>
  <c r="AS23" i="1"/>
  <c r="AS21" i="1"/>
  <c r="D11" i="1"/>
  <c r="D12" i="1" s="1"/>
  <c r="I7" i="1" l="1"/>
  <c r="I6" i="1" l="1"/>
  <c r="J7" i="1"/>
  <c r="J6" i="1" l="1"/>
  <c r="K7" i="1"/>
  <c r="K6" i="1" l="1"/>
  <c r="L7" i="1"/>
  <c r="L6" i="1" l="1"/>
  <c r="M7" i="1"/>
  <c r="M6" i="1" l="1"/>
  <c r="N7" i="1"/>
  <c r="N6" i="1" l="1"/>
  <c r="O7" i="1"/>
  <c r="O6" i="1" l="1"/>
  <c r="P7" i="1"/>
  <c r="P6" i="1" l="1"/>
  <c r="Q7" i="1"/>
  <c r="Q6" i="1" l="1"/>
  <c r="R7" i="1"/>
  <c r="R6" i="1" l="1"/>
  <c r="S7" i="1"/>
  <c r="S6" i="1" l="1"/>
  <c r="T7" i="1"/>
  <c r="T6" i="1" l="1"/>
  <c r="U7" i="1"/>
  <c r="U6" i="1" l="1"/>
  <c r="V7" i="1"/>
  <c r="V6" i="1" l="1"/>
  <c r="W7" i="1"/>
  <c r="W6" i="1" l="1"/>
  <c r="X7" i="1"/>
  <c r="X6" i="1" l="1"/>
  <c r="Y7" i="1"/>
  <c r="Y6" i="1" l="1"/>
  <c r="Z7" i="1"/>
  <c r="Z6" i="1" l="1"/>
  <c r="AA7" i="1"/>
  <c r="AA6" i="1" l="1"/>
  <c r="AB7" i="1"/>
  <c r="AB6" i="1" l="1"/>
  <c r="AC7" i="1"/>
  <c r="AC6" i="1" l="1"/>
  <c r="AD7" i="1"/>
  <c r="AD6" i="1" l="1"/>
  <c r="AE7" i="1"/>
  <c r="AE6" i="1" l="1"/>
  <c r="AF7" i="1"/>
  <c r="AF6" i="1" l="1"/>
  <c r="AG7" i="1"/>
  <c r="AG6" i="1" l="1"/>
  <c r="AH7" i="1"/>
  <c r="AH6" i="1" l="1"/>
  <c r="AI7" i="1"/>
  <c r="AI6" i="1" l="1"/>
  <c r="AJ7" i="1"/>
  <c r="AJ6" i="1" l="1"/>
  <c r="AK7" i="1"/>
  <c r="AP8" i="1" s="1"/>
  <c r="AK6" i="1" l="1"/>
  <c r="AL7" i="1"/>
  <c r="AM7" i="1" l="1"/>
  <c r="AL6" i="1"/>
  <c r="AM6" i="1" l="1"/>
</calcChain>
</file>

<file path=xl/sharedStrings.xml><?xml version="1.0" encoding="utf-8"?>
<sst xmlns="http://schemas.openxmlformats.org/spreadsheetml/2006/main" count="1010" uniqueCount="133">
  <si>
    <t>Attendance Sheet</t>
  </si>
  <si>
    <t>Select Month</t>
  </si>
  <si>
    <t>Start Date</t>
  </si>
  <si>
    <t>End Date</t>
  </si>
  <si>
    <t>January</t>
  </si>
  <si>
    <t>Select Year</t>
  </si>
  <si>
    <t>ID NO</t>
  </si>
  <si>
    <t>NAME</t>
  </si>
  <si>
    <t>Present</t>
  </si>
  <si>
    <t>Absent</t>
  </si>
  <si>
    <t>Leave</t>
  </si>
  <si>
    <t>p</t>
  </si>
  <si>
    <t>Khushboo</t>
  </si>
  <si>
    <t>Shruti</t>
  </si>
  <si>
    <t>Jahanvi</t>
  </si>
  <si>
    <t>Kabir</t>
  </si>
  <si>
    <t>Ritik</t>
  </si>
  <si>
    <t>Pulkit</t>
  </si>
  <si>
    <t>Rohit</t>
  </si>
  <si>
    <t>Riya</t>
  </si>
  <si>
    <t>Amandeep</t>
  </si>
  <si>
    <t>Priya</t>
  </si>
  <si>
    <t>Varuni</t>
  </si>
  <si>
    <t>Akshit</t>
  </si>
  <si>
    <t>Nikhil</t>
  </si>
  <si>
    <t>Jainendra</t>
  </si>
  <si>
    <t>Jashanjot</t>
  </si>
  <si>
    <t>Pawanjot</t>
  </si>
  <si>
    <t>Kirti</t>
  </si>
  <si>
    <t>Aayush</t>
  </si>
  <si>
    <t>Varun</t>
  </si>
  <si>
    <t>Sanjana</t>
  </si>
  <si>
    <t>Neha</t>
  </si>
  <si>
    <t>Gursimranjeet</t>
  </si>
  <si>
    <t>Ambika</t>
  </si>
  <si>
    <t>simran</t>
  </si>
  <si>
    <t>Komal</t>
  </si>
  <si>
    <t>Kajal</t>
  </si>
  <si>
    <t>Akriti</t>
  </si>
  <si>
    <t>Arshdeep</t>
  </si>
  <si>
    <t>Harman</t>
  </si>
  <si>
    <t>Rishit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</si>
  <si>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</si>
  <si>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</si>
  <si>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</si>
  <si>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</si>
  <si>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</si>
  <si>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</si>
  <si>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</si>
  <si>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</si>
  <si>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</si>
  <si>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</si>
  <si>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</si>
  <si>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</si>
  <si>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</si>
  <si>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</si>
  <si>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</si>
  <si>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</si>
  <si>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</si>
  <si>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</si>
  <si>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</si>
  <si>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</si>
  <si>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</si>
  <si>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</si>
  <si>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</si>
  <si>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</si>
  <si>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</si>
  <si>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</si>
  <si>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</si>
  <si>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</si>
  <si>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</si>
  <si>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</si>
  <si>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</si>
  <si>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a</t>
  </si>
  <si>
    <t>STUDENTS DETAIL</t>
  </si>
  <si>
    <t>Percentage</t>
  </si>
  <si>
    <t>Status</t>
  </si>
  <si>
    <t>l</t>
  </si>
  <si>
    <t>Total days</t>
  </si>
  <si>
    <t>Row Labels</t>
  </si>
  <si>
    <t>Grand Total</t>
  </si>
  <si>
    <t>Sum of Total days</t>
  </si>
  <si>
    <t>Excellent</t>
  </si>
  <si>
    <t>Good</t>
  </si>
  <si>
    <t>Low</t>
  </si>
  <si>
    <t>Sum of Percentage</t>
  </si>
  <si>
    <t>Sum of Leave</t>
  </si>
  <si>
    <t>Sum of Absent</t>
  </si>
  <si>
    <t>Sum of Present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</si>
  <si>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</si>
  <si>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</si>
  <si>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</si>
  <si>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</si>
  <si>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</si>
  <si>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</si>
  <si>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</si>
  <si>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</si>
  <si>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</si>
  <si>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</si>
  <si>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</si>
  <si>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</si>
  <si>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Aayush Total</t>
  </si>
  <si>
    <t>Akriti Total</t>
  </si>
  <si>
    <t>Akshit Total</t>
  </si>
  <si>
    <t>Amandeep Total</t>
  </si>
  <si>
    <t>Ambika Total</t>
  </si>
  <si>
    <t>Arshdeep Total</t>
  </si>
  <si>
    <t>Gursimranjeet Total</t>
  </si>
  <si>
    <t>Harman Total</t>
  </si>
  <si>
    <t>Jahanvi Total</t>
  </si>
  <si>
    <t>Jainendra Total</t>
  </si>
  <si>
    <t>Jashanjot Total</t>
  </si>
  <si>
    <t>Kabir Total</t>
  </si>
  <si>
    <t>Kajal Total</t>
  </si>
  <si>
    <t>Khushboo Total</t>
  </si>
  <si>
    <t>Kirti Total</t>
  </si>
  <si>
    <t>Komal Total</t>
  </si>
  <si>
    <t>Neha Total</t>
  </si>
  <si>
    <t>Nikhil Total</t>
  </si>
  <si>
    <t>Pawanjot Total</t>
  </si>
  <si>
    <t>Priya Total</t>
  </si>
  <si>
    <t>Pulkit Total</t>
  </si>
  <si>
    <t>Rishit Total</t>
  </si>
  <si>
    <t>Ritik Total</t>
  </si>
  <si>
    <t>Riya Total</t>
  </si>
  <si>
    <t>Rohit Total</t>
  </si>
  <si>
    <t>Sanjana Total</t>
  </si>
  <si>
    <t>Shruti Total</t>
  </si>
  <si>
    <t>simran Total</t>
  </si>
  <si>
    <t>Varun Total</t>
  </si>
  <si>
    <t>Varuni Total</t>
  </si>
  <si>
    <t>Values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</si>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</sst>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[$-F800]dddd\,\ mmmm\ dd\,\ yyyy"/>
    <numFmt numFmtId="165" formatCode="dd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1"/>
      <name val="Bodoni MT"/>
      <family val="1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0" xfId="0" applyFill="1" applyAlignment="1"/>
    <xf numFmtId="164" fontId="0" fillId="3" borderId="3" xfId="0" applyNumberFormat="1" applyFill="1" applyBorder="1" applyAlignment="1">
      <alignment horizontal="center"/>
    </xf>
    <xf numFmtId="0" fontId="0" fillId="0" borderId="2" xfId="0" applyBorder="1"/>
    <xf numFmtId="0" fontId="2" fillId="4" borderId="0" xfId="1"/>
    <xf numFmtId="0" fontId="2" fillId="4" borderId="0" xfId="1" applyAlignment="1">
      <alignment horizontal="center"/>
    </xf>
    <xf numFmtId="165" fontId="2" fillId="4" borderId="0" xfId="1" applyNumberFormat="1" applyAlignment="1">
      <alignment horizontal="center"/>
    </xf>
    <xf numFmtId="0" fontId="2" fillId="4" borderId="0" xfId="1" applyAlignmen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3" fontId="0" fillId="0" borderId="0" xfId="2" applyFont="1"/>
    <xf numFmtId="0" fontId="0" fillId="0" borderId="0" xfId="0" applyFill="1"/>
  </cellXfs>
  <cellStyles count="3">
    <cellStyle name="Comma" xfId="2" builtinId="3"/>
    <cellStyle name="Neutral" xfId="1" builtinId="28"/>
    <cellStyle name="Normal" xfId="0" builtinId="0"/>
  </cellStyles>
  <dxfs count="7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[Project_DI.xlsx]Pivot Table!PivotTable7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Data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6505492951105665"/>
          <c:y val="0.15003048861316579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  <c:dLbl>
          <c:idx val="0"/>
          <c:delete val="1"/>
        </c:dLbl>
      </c:pivotFmt>
      <c:pivotFmt>
        <c:idx val="8"/>
        <c:marker>
          <c:symbol val="none"/>
        </c:marker>
        <c:dLbl>
          <c:idx val="0"/>
          <c:delete val="1"/>
        </c:dLbl>
      </c:pivotFmt>
      <c:pivotFmt>
        <c:idx val="9"/>
        <c:marker>
          <c:symbol val="none"/>
        </c:marker>
        <c:dLbl>
          <c:idx val="0"/>
          <c:delete val="1"/>
        </c:dLbl>
      </c:pivotFmt>
      <c:pivotFmt>
        <c:idx val="10"/>
        <c:marker>
          <c:symbol val="none"/>
        </c:marker>
        <c:dLbl>
          <c:idx val="0"/>
          <c:delete val="1"/>
        </c:dLbl>
      </c:pivotFmt>
      <c:pivotFmt>
        <c:idx val="11"/>
        <c:marker>
          <c:symbol val="none"/>
        </c:marker>
        <c:dLbl>
          <c:idx val="0"/>
          <c:delete val="1"/>
        </c:dLbl>
      </c:pivotFmt>
      <c:pivotFmt>
        <c:idx val="12"/>
        <c:marker>
          <c:symbol val="none"/>
        </c:marker>
        <c:dLbl>
          <c:idx val="0"/>
          <c:delete val="1"/>
        </c:dLbl>
      </c:pivotFmt>
      <c:pivotFmt>
        <c:idx val="13"/>
        <c:marker>
          <c:symbol val="none"/>
        </c:marker>
        <c:dLbl>
          <c:idx val="0"/>
          <c:delete val="1"/>
        </c:dLbl>
      </c:pivotFmt>
      <c:pivotFmt>
        <c:idx val="14"/>
        <c:marker>
          <c:symbol val="none"/>
        </c:marker>
        <c:dLbl>
          <c:idx val="0"/>
          <c:delete val="1"/>
        </c:dLbl>
      </c:pivotFmt>
      <c:pivotFmt>
        <c:idx val="15"/>
        <c:marker>
          <c:symbol val="none"/>
        </c:marker>
        <c:dLbl>
          <c:idx val="0"/>
          <c:delete val="1"/>
        </c:dLbl>
      </c:pivotFmt>
      <c:pivotFmt>
        <c:idx val="16"/>
        <c:marker>
          <c:symbol val="none"/>
        </c:marker>
        <c:dLbl>
          <c:idx val="0"/>
          <c:delete val="1"/>
        </c:dLbl>
      </c:pivotFmt>
      <c:pivotFmt>
        <c:idx val="17"/>
        <c:marker>
          <c:symbol val="none"/>
        </c:marker>
        <c:dLbl>
          <c:idx val="0"/>
          <c:delete val="1"/>
        </c:dLbl>
      </c:pivotFmt>
      <c:pivotFmt>
        <c:idx val="18"/>
        <c:marker>
          <c:symbol val="none"/>
        </c:marker>
        <c:dLbl>
          <c:idx val="0"/>
          <c:delete val="1"/>
        </c:dLbl>
      </c:pivotFmt>
      <c:pivotFmt>
        <c:idx val="19"/>
        <c:marker>
          <c:symbol val="none"/>
        </c:marker>
        <c:dLbl>
          <c:idx val="0"/>
          <c:delete val="1"/>
        </c:dLbl>
      </c:pivotFmt>
      <c:pivotFmt>
        <c:idx val="20"/>
        <c:marker>
          <c:symbol val="none"/>
        </c:marker>
        <c:dLbl>
          <c:idx val="0"/>
          <c:delete val="1"/>
        </c:dLbl>
      </c:pivotFmt>
      <c:pivotFmt>
        <c:idx val="21"/>
        <c:marker>
          <c:symbol val="none"/>
        </c:marker>
        <c:dLbl>
          <c:idx val="0"/>
          <c:delete val="1"/>
        </c:dLbl>
      </c:pivotFmt>
      <c:pivotFmt>
        <c:idx val="22"/>
        <c:marker>
          <c:symbol val="none"/>
        </c:marker>
        <c:dLbl>
          <c:idx val="0"/>
          <c:delete val="1"/>
        </c:dLbl>
      </c:pivotFmt>
      <c:pivotFmt>
        <c:idx val="23"/>
        <c:marker>
          <c:symbol val="none"/>
        </c:marker>
        <c:dLbl>
          <c:idx val="0"/>
          <c:delete val="1"/>
        </c:dLbl>
      </c:pivotFmt>
      <c:pivotFmt>
        <c:idx val="24"/>
        <c:marker>
          <c:symbol val="none"/>
        </c:marker>
        <c:dLbl>
          <c:idx val="0"/>
          <c:delete val="1"/>
        </c:dLbl>
      </c:pivotFmt>
      <c:pivotFmt>
        <c:idx val="25"/>
        <c:marker>
          <c:symbol val="none"/>
        </c:marker>
        <c:dLbl>
          <c:idx val="0"/>
          <c:delete val="1"/>
        </c:dLbl>
      </c:pivotFmt>
      <c:pivotFmt>
        <c:idx val="26"/>
        <c:marker>
          <c:symbol val="none"/>
        </c:marker>
        <c:dLbl>
          <c:idx val="0"/>
          <c:delete val="1"/>
        </c:dLbl>
      </c:pivotFmt>
      <c:pivotFmt>
        <c:idx val="27"/>
        <c:marker>
          <c:symbol val="none"/>
        </c:marker>
        <c:dLbl>
          <c:idx val="0"/>
          <c:delete val="1"/>
        </c:dLbl>
      </c:pivotFmt>
      <c:pivotFmt>
        <c:idx val="28"/>
        <c:marker>
          <c:symbol val="none"/>
        </c:marker>
        <c:dLbl>
          <c:idx val="0"/>
          <c:delete val="1"/>
        </c:dLbl>
      </c:pivotFmt>
      <c:pivotFmt>
        <c:idx val="29"/>
        <c:marker>
          <c:symbol val="none"/>
        </c:marker>
        <c:dLbl>
          <c:idx val="0"/>
          <c:delete val="1"/>
        </c:dLbl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  <c:dLbl>
          <c:idx val="0"/>
          <c:delete val="1"/>
        </c:dLbl>
      </c:pivotFmt>
      <c:pivotFmt>
        <c:idx val="61"/>
        <c:marker>
          <c:symbol val="none"/>
        </c:marker>
        <c:dLbl>
          <c:idx val="0"/>
          <c:delete val="1"/>
        </c:dLbl>
      </c:pivotFmt>
      <c:pivotFmt>
        <c:idx val="62"/>
        <c:marker>
          <c:symbol val="none"/>
        </c:marker>
        <c:dLbl>
          <c:idx val="0"/>
          <c:delete val="1"/>
        </c:dLbl>
      </c:pivotFmt>
      <c:pivotFmt>
        <c:idx val="63"/>
        <c:marker>
          <c:symbol val="none"/>
        </c:marker>
        <c:dLbl>
          <c:idx val="0"/>
          <c:delete val="1"/>
        </c:dLbl>
      </c:pivotFmt>
      <c:pivotFmt>
        <c:idx val="64"/>
        <c:marker>
          <c:symbol val="none"/>
        </c:marker>
        <c:dLbl>
          <c:idx val="0"/>
          <c:delete val="1"/>
        </c:dLbl>
      </c:pivotFmt>
      <c:pivotFmt>
        <c:idx val="65"/>
        <c:marker>
          <c:symbol val="none"/>
        </c:marker>
        <c:dLbl>
          <c:idx val="0"/>
          <c:delete val="1"/>
        </c:dLbl>
      </c:pivotFmt>
      <c:pivotFmt>
        <c:idx val="66"/>
        <c:marker>
          <c:symbol val="none"/>
        </c:marker>
        <c:dLbl>
          <c:idx val="0"/>
          <c:delete val="1"/>
        </c:dLbl>
      </c:pivotFmt>
      <c:pivotFmt>
        <c:idx val="67"/>
        <c:marker>
          <c:symbol val="none"/>
        </c:marker>
        <c:dLbl>
          <c:idx val="0"/>
          <c:delete val="1"/>
        </c:dLbl>
      </c:pivotFmt>
      <c:pivotFmt>
        <c:idx val="68"/>
        <c:marker>
          <c:symbol val="none"/>
        </c:marker>
        <c:dLbl>
          <c:idx val="0"/>
          <c:delete val="1"/>
        </c:dLbl>
      </c:pivotFmt>
      <c:pivotFmt>
        <c:idx val="69"/>
        <c:marker>
          <c:symbol val="none"/>
        </c:marker>
        <c:dLbl>
          <c:idx val="0"/>
          <c:delete val="1"/>
        </c:dLbl>
      </c:pivotFmt>
      <c:pivotFmt>
        <c:idx val="70"/>
        <c:marker>
          <c:symbol val="none"/>
        </c:marker>
        <c:dLbl>
          <c:idx val="0"/>
          <c:delete val="1"/>
        </c:dLbl>
      </c:pivotFmt>
      <c:pivotFmt>
        <c:idx val="71"/>
        <c:marker>
          <c:symbol val="none"/>
        </c:marker>
        <c:dLbl>
          <c:idx val="0"/>
          <c:delete val="1"/>
        </c:dLbl>
      </c:pivotFmt>
      <c:pivotFmt>
        <c:idx val="72"/>
        <c:marker>
          <c:symbol val="none"/>
        </c:marker>
        <c:dLbl>
          <c:idx val="0"/>
          <c:delete val="1"/>
        </c:dLbl>
      </c:pivotFmt>
      <c:pivotFmt>
        <c:idx val="73"/>
        <c:marker>
          <c:symbol val="none"/>
        </c:marker>
        <c:dLbl>
          <c:idx val="0"/>
          <c:delete val="1"/>
        </c:dLbl>
      </c:pivotFmt>
      <c:pivotFmt>
        <c:idx val="74"/>
        <c:marker>
          <c:symbol val="none"/>
        </c:marker>
        <c:dLbl>
          <c:idx val="0"/>
          <c:delete val="1"/>
        </c:dLbl>
      </c:pivotFmt>
      <c:pivotFmt>
        <c:idx val="75"/>
        <c:marker>
          <c:symbol val="none"/>
        </c:marker>
        <c:dLbl>
          <c:idx val="0"/>
          <c:delete val="1"/>
        </c:dLbl>
      </c:pivotFmt>
      <c:pivotFmt>
        <c:idx val="76"/>
        <c:marker>
          <c:symbol val="none"/>
        </c:marker>
        <c:dLbl>
          <c:idx val="0"/>
          <c:delete val="1"/>
        </c:dLbl>
      </c:pivotFmt>
      <c:pivotFmt>
        <c:idx val="77"/>
        <c:marker>
          <c:symbol val="none"/>
        </c:marker>
        <c:dLbl>
          <c:idx val="0"/>
          <c:delete val="1"/>
        </c:dLbl>
      </c:pivotFmt>
      <c:pivotFmt>
        <c:idx val="78"/>
        <c:marker>
          <c:symbol val="none"/>
        </c:marker>
        <c:dLbl>
          <c:idx val="0"/>
          <c:delete val="1"/>
        </c:dLbl>
      </c:pivotFmt>
      <c:pivotFmt>
        <c:idx val="79"/>
        <c:marker>
          <c:symbol val="none"/>
        </c:marker>
        <c:dLbl>
          <c:idx val="0"/>
          <c:delete val="1"/>
        </c:dLbl>
      </c:pivotFmt>
      <c:pivotFmt>
        <c:idx val="80"/>
        <c:marker>
          <c:symbol val="none"/>
        </c:marker>
        <c:dLbl>
          <c:idx val="0"/>
          <c:delete val="1"/>
        </c:dLbl>
      </c:pivotFmt>
      <c:pivotFmt>
        <c:idx val="81"/>
        <c:marker>
          <c:symbol val="none"/>
        </c:marker>
        <c:dLbl>
          <c:idx val="0"/>
          <c:delete val="1"/>
        </c:dLbl>
      </c:pivotFmt>
      <c:pivotFmt>
        <c:idx val="82"/>
        <c:marker>
          <c:symbol val="none"/>
        </c:marker>
        <c:dLbl>
          <c:idx val="0"/>
          <c:delete val="1"/>
        </c:dLbl>
      </c:pivotFmt>
      <c:pivotFmt>
        <c:idx val="83"/>
        <c:marker>
          <c:symbol val="none"/>
        </c:marker>
        <c:dLbl>
          <c:idx val="0"/>
          <c:delete val="1"/>
        </c:dLbl>
      </c:pivotFmt>
      <c:pivotFmt>
        <c:idx val="84"/>
        <c:marker>
          <c:symbol val="none"/>
        </c:marker>
        <c:dLbl>
          <c:idx val="0"/>
          <c:delete val="1"/>
        </c:dLbl>
      </c:pivotFmt>
      <c:pivotFmt>
        <c:idx val="85"/>
        <c:marker>
          <c:symbol val="none"/>
        </c:marker>
        <c:dLbl>
          <c:idx val="0"/>
          <c:delete val="1"/>
        </c:dLbl>
      </c:pivotFmt>
      <c:pivotFmt>
        <c:idx val="86"/>
        <c:marker>
          <c:symbol val="none"/>
        </c:marker>
        <c:dLbl>
          <c:idx val="0"/>
          <c:delete val="1"/>
        </c:dLbl>
      </c:pivotFmt>
      <c:pivotFmt>
        <c:idx val="87"/>
        <c:marker>
          <c:symbol val="none"/>
        </c:marker>
        <c:dLbl>
          <c:idx val="0"/>
          <c:delete val="1"/>
        </c:dLbl>
      </c:pivotFmt>
      <c:pivotFmt>
        <c:idx val="88"/>
        <c:marker>
          <c:symbol val="none"/>
        </c:marker>
        <c:dLbl>
          <c:idx val="0"/>
          <c:delete val="1"/>
        </c:dLbl>
      </c:pivotFmt>
      <c:pivotFmt>
        <c:idx val="89"/>
        <c:marker>
          <c:symbol val="none"/>
        </c:marker>
        <c:dLbl>
          <c:idx val="0"/>
          <c:delete val="1"/>
        </c:dLbl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Table'!$B$5:$B$7</c:f>
              <c:strCache>
                <c:ptCount val="1"/>
                <c:pt idx="0">
                  <c:v>Aayush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Table'!$B$8:$B$11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"/>
          <c:order val="1"/>
          <c:tx>
            <c:strRef>
              <c:f>'Pivot Table'!$D$5:$D$7</c:f>
              <c:strCache>
                <c:ptCount val="1"/>
                <c:pt idx="0">
                  <c:v>Akriti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Table'!$D$8:$D$11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'Pivot Table'!$F$5:$F$7</c:f>
              <c:strCache>
                <c:ptCount val="1"/>
                <c:pt idx="0">
                  <c:v>Akshit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Table'!$F$8:$F$11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3"/>
          <c:order val="3"/>
          <c:tx>
            <c:strRef>
              <c:f>'Pivot Table'!$H$5:$H$7</c:f>
              <c:strCache>
                <c:ptCount val="1"/>
                <c:pt idx="0">
                  <c:v>Amandeep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Table'!$H$8:$H$11</c:f>
              <c:numCache>
                <c:formatCode>General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4"/>
          <c:order val="4"/>
          <c:tx>
            <c:strRef>
              <c:f>'Pivot Table'!$J$5:$J$7</c:f>
              <c:strCache>
                <c:ptCount val="1"/>
                <c:pt idx="0">
                  <c:v>Ambika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Table'!$J$8:$J$11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5"/>
          <c:order val="5"/>
          <c:tx>
            <c:strRef>
              <c:f>'Pivot Table'!$L$5:$L$7</c:f>
              <c:strCache>
                <c:ptCount val="1"/>
                <c:pt idx="0">
                  <c:v>Arshdeep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Table'!$L$8:$L$11</c:f>
              <c:numCache>
                <c:formatCode>General</c:formatCode>
                <c:ptCount val="4"/>
                <c:pt idx="0">
                  <c:v>18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</c:numCache>
            </c:numRef>
          </c:val>
        </c:ser>
        <c:ser>
          <c:idx val="6"/>
          <c:order val="6"/>
          <c:tx>
            <c:strRef>
              <c:f>'Pivot Table'!$N$5:$N$7</c:f>
              <c:strCache>
                <c:ptCount val="1"/>
                <c:pt idx="0">
                  <c:v>Gursimranjeet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Table'!$N$8:$N$11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7"/>
          <c:order val="7"/>
          <c:tx>
            <c:strRef>
              <c:f>'Pivot Table'!$P$5:$P$7</c:f>
              <c:strCache>
                <c:ptCount val="1"/>
                <c:pt idx="0">
                  <c:v>Harman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Table'!$P$8:$P$11</c:f>
              <c:numCache>
                <c:formatCode>General</c:formatCode>
                <c:ptCount val="4"/>
                <c:pt idx="0">
                  <c:v>21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8"/>
          <c:order val="8"/>
          <c:tx>
            <c:strRef>
              <c:f>'Pivot Table'!$R$5:$R$7</c:f>
              <c:strCache>
                <c:ptCount val="1"/>
                <c:pt idx="0">
                  <c:v>Jahanvi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Table'!$R$8:$R$11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9"/>
          <c:order val="9"/>
          <c:tx>
            <c:strRef>
              <c:f>'Pivot Table'!$T$5:$T$7</c:f>
              <c:strCache>
                <c:ptCount val="1"/>
                <c:pt idx="0">
                  <c:v>Jainendra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Table'!$T$8:$T$11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0"/>
          <c:order val="10"/>
          <c:tx>
            <c:strRef>
              <c:f>'Pivot Table'!$V$5:$V$7</c:f>
              <c:strCache>
                <c:ptCount val="1"/>
                <c:pt idx="0">
                  <c:v>Jashanjot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Table'!$V$8:$V$11</c:f>
              <c:numCache>
                <c:formatCode>General</c:formatCode>
                <c:ptCount val="4"/>
                <c:pt idx="0">
                  <c:v>22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1"/>
          <c:order val="11"/>
          <c:tx>
            <c:strRef>
              <c:f>'Pivot Table'!$X$5:$X$7</c:f>
              <c:strCache>
                <c:ptCount val="1"/>
                <c:pt idx="0">
                  <c:v>Kabir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Table'!$X$8:$X$11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</c:ser>
        <c:ser>
          <c:idx val="12"/>
          <c:order val="12"/>
          <c:tx>
            <c:strRef>
              <c:f>'Pivot Table'!$Z$5:$Z$7</c:f>
              <c:strCache>
                <c:ptCount val="1"/>
                <c:pt idx="0">
                  <c:v>Kajal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Table'!$Z$8:$Z$11</c:f>
              <c:numCache>
                <c:formatCode>General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3"/>
          <c:order val="13"/>
          <c:tx>
            <c:strRef>
              <c:f>'Pivot Table'!$AB$5:$AB$7</c:f>
              <c:strCache>
                <c:ptCount val="1"/>
                <c:pt idx="0">
                  <c:v>Khushboo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Table'!$AB$8:$AB$11</c:f>
              <c:numCache>
                <c:formatCode>General</c:formatCode>
                <c:ptCount val="4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4"/>
          <c:order val="14"/>
          <c:tx>
            <c:strRef>
              <c:f>'Pivot Table'!$AD$5:$AD$7</c:f>
              <c:strCache>
                <c:ptCount val="1"/>
                <c:pt idx="0">
                  <c:v>Kirti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Table'!$AD$8:$AD$11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</c:numCache>
            </c:numRef>
          </c:val>
        </c:ser>
        <c:ser>
          <c:idx val="15"/>
          <c:order val="15"/>
          <c:tx>
            <c:strRef>
              <c:f>'Pivot Table'!$AF$5:$AF$7</c:f>
              <c:strCache>
                <c:ptCount val="1"/>
                <c:pt idx="0">
                  <c:v>Komal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Table'!$AF$8:$AF$11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6"/>
          <c:order val="16"/>
          <c:tx>
            <c:strRef>
              <c:f>'Pivot Table'!$AH$5:$AH$7</c:f>
              <c:strCache>
                <c:ptCount val="1"/>
                <c:pt idx="0">
                  <c:v>Neha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Table'!$AH$8:$AH$11</c:f>
              <c:numCache>
                <c:formatCode>General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7"/>
          <c:order val="17"/>
          <c:tx>
            <c:strRef>
              <c:f>'Pivot Table'!$AJ$5:$AJ$7</c:f>
              <c:strCache>
                <c:ptCount val="1"/>
                <c:pt idx="0">
                  <c:v>Nikhil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Table'!$AJ$8:$AJ$11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8"/>
          <c:order val="18"/>
          <c:tx>
            <c:strRef>
              <c:f>'Pivot Table'!$AL$5:$AL$7</c:f>
              <c:strCache>
                <c:ptCount val="1"/>
                <c:pt idx="0">
                  <c:v>Pawanjot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Table'!$AL$8:$AL$11</c:f>
              <c:numCache>
                <c:formatCode>General</c:formatCode>
                <c:ptCount val="4"/>
                <c:pt idx="0">
                  <c:v>20</c:v>
                </c:pt>
                <c:pt idx="1">
                  <c:v>3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19"/>
          <c:order val="19"/>
          <c:tx>
            <c:strRef>
              <c:f>'Pivot Table'!$AN$5:$AN$7</c:f>
              <c:strCache>
                <c:ptCount val="1"/>
                <c:pt idx="0">
                  <c:v>Priya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Table'!$AN$8:$AN$11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0"/>
          <c:order val="20"/>
          <c:tx>
            <c:strRef>
              <c:f>'Pivot Table'!$AP$5:$AP$7</c:f>
              <c:strCache>
                <c:ptCount val="1"/>
                <c:pt idx="0">
                  <c:v>Pulkit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Table'!$AP$8:$AP$11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1"/>
          <c:order val="21"/>
          <c:tx>
            <c:strRef>
              <c:f>'Pivot Table'!$AR$5:$AR$7</c:f>
              <c:strCache>
                <c:ptCount val="1"/>
                <c:pt idx="0">
                  <c:v>Rishit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Table'!$AR$8:$AR$11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2"/>
          <c:order val="22"/>
          <c:tx>
            <c:strRef>
              <c:f>'Pivot Table'!$AT$5:$AT$7</c:f>
              <c:strCache>
                <c:ptCount val="1"/>
                <c:pt idx="0">
                  <c:v>Ritik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Table'!$AT$8:$AT$11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3"/>
          <c:order val="23"/>
          <c:tx>
            <c:strRef>
              <c:f>'Pivot Table'!$AV$5:$AV$7</c:f>
              <c:strCache>
                <c:ptCount val="1"/>
                <c:pt idx="0">
                  <c:v>Riya - Good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Table'!$AV$8:$AV$11</c:f>
              <c:numCache>
                <c:formatCode>General</c:formatCode>
                <c:ptCount val="4"/>
                <c:pt idx="0">
                  <c:v>22</c:v>
                </c:pt>
                <c:pt idx="1">
                  <c:v>16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4"/>
          <c:order val="24"/>
          <c:tx>
            <c:strRef>
              <c:f>'Pivot Table'!$AX$5:$AX$7</c:f>
              <c:strCache>
                <c:ptCount val="1"/>
                <c:pt idx="0">
                  <c:v>Rohit - Low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Table'!$AX$8:$AX$11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5"/>
          <c:order val="25"/>
          <c:tx>
            <c:strRef>
              <c:f>'Pivot Table'!$AZ$5:$AZ$7</c:f>
              <c:strCache>
                <c:ptCount val="1"/>
                <c:pt idx="0">
                  <c:v>Sanjana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Table'!$AZ$8:$AZ$11</c:f>
              <c:numCache>
                <c:formatCode>General</c:formatCode>
                <c:ptCount val="4"/>
                <c:pt idx="0">
                  <c:v>24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6"/>
          <c:order val="26"/>
          <c:tx>
            <c:strRef>
              <c:f>'Pivot Table'!$BB$5:$BB$7</c:f>
              <c:strCache>
                <c:ptCount val="1"/>
                <c:pt idx="0">
                  <c:v>Shruti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Table'!$BB$8:$BB$11</c:f>
              <c:numCache>
                <c:formatCode>General</c:formatCode>
                <c:ptCount val="4"/>
                <c:pt idx="0">
                  <c:v>24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7"/>
          <c:order val="27"/>
          <c:tx>
            <c:strRef>
              <c:f>'Pivot Table'!$BD$5:$BD$7</c:f>
              <c:strCache>
                <c:ptCount val="1"/>
                <c:pt idx="0">
                  <c:v>simran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Table'!$BD$8:$BD$11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8"/>
          <c:order val="28"/>
          <c:tx>
            <c:strRef>
              <c:f>'Pivot Table'!$BF$5:$BF$7</c:f>
              <c:strCache>
                <c:ptCount val="1"/>
                <c:pt idx="0">
                  <c:v>Varun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Table'!$BF$8:$BF$11</c:f>
              <c:numCache>
                <c:formatCode>General</c:formatCode>
                <c:ptCount val="4"/>
                <c:pt idx="0">
                  <c:v>23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9"/>
          <c:order val="29"/>
          <c:tx>
            <c:strRef>
              <c:f>'Pivot Table'!$BH$5:$BH$7</c:f>
              <c:strCache>
                <c:ptCount val="1"/>
                <c:pt idx="0">
                  <c:v>Varuni - Excellent</c:v>
                </c:pt>
              </c:strCache>
            </c:strRef>
          </c:tx>
          <c:invertIfNegative val="0"/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Table'!$BH$8:$BH$11</c:f>
              <c:numCache>
                <c:formatCode>General</c:formatCode>
                <c:ptCount val="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684928"/>
        <c:axId val="250686464"/>
      </c:barChart>
      <c:catAx>
        <c:axId val="250684928"/>
        <c:scaling>
          <c:orientation val="minMax"/>
        </c:scaling>
        <c:delete val="0"/>
        <c:axPos val="b"/>
        <c:majorTickMark val="none"/>
        <c:minorTickMark val="none"/>
        <c:tickLblPos val="nextTo"/>
        <c:crossAx val="250686464"/>
        <c:crosses val="autoZero"/>
        <c:auto val="1"/>
        <c:lblAlgn val="ctr"/>
        <c:lblOffset val="100"/>
        <c:noMultiLvlLbl val="0"/>
      </c:catAx>
      <c:valAx>
        <c:axId val="250686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50684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[Project_DI.xlsx]Pivot Table!PivotTable7</c:name>
    <c:fmtId val="5"/>
  </c:pivotSource>
  <c:chart>
    <c:title>
      <c:tx>
        <c:rich>
          <a:bodyPr/>
          <a:lstStyle/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Table'!$B$5:$B$7</c:f>
              <c:strCache>
                <c:ptCount val="1"/>
                <c:pt idx="0">
                  <c:v>Aayush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Table'!$B$8:$B$11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"/>
          <c:order val="1"/>
          <c:tx>
            <c:strRef>
              <c:f>'Pivot Table'!$D$5:$D$7</c:f>
              <c:strCache>
                <c:ptCount val="1"/>
                <c:pt idx="0">
                  <c:v>Akriti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Table'!$D$8:$D$11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'Pivot Table'!$F$5:$F$7</c:f>
              <c:strCache>
                <c:ptCount val="1"/>
                <c:pt idx="0">
                  <c:v>Akshit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Table'!$F$8:$F$11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3"/>
          <c:order val="3"/>
          <c:tx>
            <c:strRef>
              <c:f>'Pivot Table'!$H$5:$H$7</c:f>
              <c:strCache>
                <c:ptCount val="1"/>
                <c:pt idx="0">
                  <c:v>Amandeep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Table'!$H$8:$H$11</c:f>
              <c:numCache>
                <c:formatCode>General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4"/>
          <c:order val="4"/>
          <c:tx>
            <c:strRef>
              <c:f>'Pivot Table'!$J$5:$J$7</c:f>
              <c:strCache>
                <c:ptCount val="1"/>
                <c:pt idx="0">
                  <c:v>Ambika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Table'!$J$8:$J$11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5"/>
          <c:order val="5"/>
          <c:tx>
            <c:strRef>
              <c:f>'Pivot Table'!$L$5:$L$7</c:f>
              <c:strCache>
                <c:ptCount val="1"/>
                <c:pt idx="0">
                  <c:v>Arshdeep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Table'!$L$8:$L$11</c:f>
              <c:numCache>
                <c:formatCode>General</c:formatCode>
                <c:ptCount val="4"/>
                <c:pt idx="0">
                  <c:v>18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</c:numCache>
            </c:numRef>
          </c:val>
        </c:ser>
        <c:ser>
          <c:idx val="6"/>
          <c:order val="6"/>
          <c:tx>
            <c:strRef>
              <c:f>'Pivot Table'!$N$5:$N$7</c:f>
              <c:strCache>
                <c:ptCount val="1"/>
                <c:pt idx="0">
                  <c:v>Gursimranjeet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Table'!$N$8:$N$11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7"/>
          <c:order val="7"/>
          <c:tx>
            <c:strRef>
              <c:f>'Pivot Table'!$P$5:$P$7</c:f>
              <c:strCache>
                <c:ptCount val="1"/>
                <c:pt idx="0">
                  <c:v>Harman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Table'!$P$8:$P$11</c:f>
              <c:numCache>
                <c:formatCode>General</c:formatCode>
                <c:ptCount val="4"/>
                <c:pt idx="0">
                  <c:v>21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8"/>
          <c:order val="8"/>
          <c:tx>
            <c:strRef>
              <c:f>'Pivot Table'!$R$5:$R$7</c:f>
              <c:strCache>
                <c:ptCount val="1"/>
                <c:pt idx="0">
                  <c:v>Jahanvi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Table'!$R$8:$R$11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9"/>
          <c:order val="9"/>
          <c:tx>
            <c:strRef>
              <c:f>'Pivot Table'!$T$5:$T$7</c:f>
              <c:strCache>
                <c:ptCount val="1"/>
                <c:pt idx="0">
                  <c:v>Jainendra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Table'!$T$8:$T$11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0"/>
          <c:order val="10"/>
          <c:tx>
            <c:strRef>
              <c:f>'Pivot Table'!$V$5:$V$7</c:f>
              <c:strCache>
                <c:ptCount val="1"/>
                <c:pt idx="0">
                  <c:v>Jashanjot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Table'!$V$8:$V$11</c:f>
              <c:numCache>
                <c:formatCode>General</c:formatCode>
                <c:ptCount val="4"/>
                <c:pt idx="0">
                  <c:v>22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1"/>
          <c:order val="11"/>
          <c:tx>
            <c:strRef>
              <c:f>'Pivot Table'!$X$5:$X$7</c:f>
              <c:strCache>
                <c:ptCount val="1"/>
                <c:pt idx="0">
                  <c:v>Kabir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Table'!$X$8:$X$11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</c:ser>
        <c:ser>
          <c:idx val="12"/>
          <c:order val="12"/>
          <c:tx>
            <c:strRef>
              <c:f>'Pivot Table'!$Z$5:$Z$7</c:f>
              <c:strCache>
                <c:ptCount val="1"/>
                <c:pt idx="0">
                  <c:v>Kajal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Table'!$Z$8:$Z$11</c:f>
              <c:numCache>
                <c:formatCode>General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3"/>
          <c:order val="13"/>
          <c:tx>
            <c:strRef>
              <c:f>'Pivot Table'!$AB$5:$AB$7</c:f>
              <c:strCache>
                <c:ptCount val="1"/>
                <c:pt idx="0">
                  <c:v>Khushboo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Table'!$AB$8:$AB$11</c:f>
              <c:numCache>
                <c:formatCode>General</c:formatCode>
                <c:ptCount val="4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4"/>
          <c:order val="14"/>
          <c:tx>
            <c:strRef>
              <c:f>'Pivot Table'!$AD$5:$AD$7</c:f>
              <c:strCache>
                <c:ptCount val="1"/>
                <c:pt idx="0">
                  <c:v>Kirti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Table'!$AD$8:$AD$11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</c:numCache>
            </c:numRef>
          </c:val>
        </c:ser>
        <c:ser>
          <c:idx val="15"/>
          <c:order val="15"/>
          <c:tx>
            <c:strRef>
              <c:f>'Pivot Table'!$AF$5:$AF$7</c:f>
              <c:strCache>
                <c:ptCount val="1"/>
                <c:pt idx="0">
                  <c:v>Komal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Table'!$AF$8:$AF$11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6"/>
          <c:order val="16"/>
          <c:tx>
            <c:strRef>
              <c:f>'Pivot Table'!$AH$5:$AH$7</c:f>
              <c:strCache>
                <c:ptCount val="1"/>
                <c:pt idx="0">
                  <c:v>Neha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Table'!$AH$8:$AH$11</c:f>
              <c:numCache>
                <c:formatCode>General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7"/>
          <c:order val="17"/>
          <c:tx>
            <c:strRef>
              <c:f>'Pivot Table'!$AJ$5:$AJ$7</c:f>
              <c:strCache>
                <c:ptCount val="1"/>
                <c:pt idx="0">
                  <c:v>Nikhil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Table'!$AJ$8:$AJ$11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8"/>
          <c:order val="18"/>
          <c:tx>
            <c:strRef>
              <c:f>'Pivot Table'!$AL$5:$AL$7</c:f>
              <c:strCache>
                <c:ptCount val="1"/>
                <c:pt idx="0">
                  <c:v>Pawanjot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Table'!$AL$8:$AL$11</c:f>
              <c:numCache>
                <c:formatCode>General</c:formatCode>
                <c:ptCount val="4"/>
                <c:pt idx="0">
                  <c:v>20</c:v>
                </c:pt>
                <c:pt idx="1">
                  <c:v>3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19"/>
          <c:order val="19"/>
          <c:tx>
            <c:strRef>
              <c:f>'Pivot Table'!$AN$5:$AN$7</c:f>
              <c:strCache>
                <c:ptCount val="1"/>
                <c:pt idx="0">
                  <c:v>Priya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Table'!$AN$8:$AN$11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0"/>
          <c:order val="20"/>
          <c:tx>
            <c:strRef>
              <c:f>'Pivot Table'!$AP$5:$AP$7</c:f>
              <c:strCache>
                <c:ptCount val="1"/>
                <c:pt idx="0">
                  <c:v>Pulkit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Table'!$AP$8:$AP$11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1"/>
          <c:order val="21"/>
          <c:tx>
            <c:strRef>
              <c:f>'Pivot Table'!$AR$5:$AR$7</c:f>
              <c:strCache>
                <c:ptCount val="1"/>
                <c:pt idx="0">
                  <c:v>Rishit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Table'!$AR$8:$AR$11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2"/>
          <c:order val="22"/>
          <c:tx>
            <c:strRef>
              <c:f>'Pivot Table'!$AT$5:$AT$7</c:f>
              <c:strCache>
                <c:ptCount val="1"/>
                <c:pt idx="0">
                  <c:v>Ritik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Table'!$AT$8:$AT$11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3"/>
          <c:order val="23"/>
          <c:tx>
            <c:strRef>
              <c:f>'Pivot Table'!$AV$5:$AV$7</c:f>
              <c:strCache>
                <c:ptCount val="1"/>
                <c:pt idx="0">
                  <c:v>Riya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Table'!$AV$8:$AV$11</c:f>
              <c:numCache>
                <c:formatCode>General</c:formatCode>
                <c:ptCount val="4"/>
                <c:pt idx="0">
                  <c:v>22</c:v>
                </c:pt>
                <c:pt idx="1">
                  <c:v>16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4"/>
          <c:order val="24"/>
          <c:tx>
            <c:strRef>
              <c:f>'Pivot Table'!$AX$5:$AX$7</c:f>
              <c:strCache>
                <c:ptCount val="1"/>
                <c:pt idx="0">
                  <c:v>Rohit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Table'!$AX$8:$AX$11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5"/>
          <c:order val="25"/>
          <c:tx>
            <c:strRef>
              <c:f>'Pivot Table'!$AZ$5:$AZ$7</c:f>
              <c:strCache>
                <c:ptCount val="1"/>
                <c:pt idx="0">
                  <c:v>Sanjana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Table'!$AZ$8:$AZ$11</c:f>
              <c:numCache>
                <c:formatCode>General</c:formatCode>
                <c:ptCount val="4"/>
                <c:pt idx="0">
                  <c:v>24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6"/>
          <c:order val="26"/>
          <c:tx>
            <c:strRef>
              <c:f>'Pivot Table'!$BB$5:$BB$7</c:f>
              <c:strCache>
                <c:ptCount val="1"/>
                <c:pt idx="0">
                  <c:v>Shruti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Table'!$BB$8:$BB$11</c:f>
              <c:numCache>
                <c:formatCode>General</c:formatCode>
                <c:ptCount val="4"/>
                <c:pt idx="0">
                  <c:v>24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7"/>
          <c:order val="27"/>
          <c:tx>
            <c:strRef>
              <c:f>'Pivot Table'!$BD$5:$BD$7</c:f>
              <c:strCache>
                <c:ptCount val="1"/>
                <c:pt idx="0">
                  <c:v>simran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Table'!$BD$8:$BD$11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8"/>
          <c:order val="28"/>
          <c:tx>
            <c:strRef>
              <c:f>'Pivot Table'!$BF$5:$BF$7</c:f>
              <c:strCache>
                <c:ptCount val="1"/>
                <c:pt idx="0">
                  <c:v>Varun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Table'!$BF$8:$BF$11</c:f>
              <c:numCache>
                <c:formatCode>General</c:formatCode>
                <c:ptCount val="4"/>
                <c:pt idx="0">
                  <c:v>23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9"/>
          <c:order val="29"/>
          <c:tx>
            <c:strRef>
              <c:f>'Pivot Table'!$BH$5:$BH$7</c:f>
              <c:strCache>
                <c:ptCount val="1"/>
                <c:pt idx="0">
                  <c:v>Varuni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Table'!$BH$8:$BH$11</c:f>
              <c:numCache>
                <c:formatCode>General</c:formatCode>
                <c:ptCount val="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[Project_DI.xlsx]Sheet2!PivotTable4</c:name>
    <c:fmtId val="6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 days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264</c:v>
                </c:pt>
                <c:pt idx="1">
                  <c:v>309</c:v>
                </c:pt>
                <c:pt idx="2">
                  <c:v>147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Absent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37</c:v>
                </c:pt>
                <c:pt idx="1">
                  <c:v>48</c:v>
                </c:pt>
                <c:pt idx="2">
                  <c:v>27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Present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248</c:v>
                </c:pt>
                <c:pt idx="1">
                  <c:v>258</c:v>
                </c:pt>
                <c:pt idx="2">
                  <c:v>94</c:v>
                </c:pt>
              </c:numCache>
            </c:numRef>
          </c:val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Leave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11</c:v>
                </c:pt>
                <c:pt idx="1">
                  <c:v>16</c:v>
                </c:pt>
                <c:pt idx="2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Percentage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Sheet2!$F$4:$F$7</c:f>
              <c:numCache>
                <c:formatCode>General</c:formatCode>
                <c:ptCount val="3"/>
                <c:pt idx="0">
                  <c:v>1032.108695652174</c:v>
                </c:pt>
                <c:pt idx="1">
                  <c:v>1083.562582345191</c:v>
                </c:pt>
                <c:pt idx="2">
                  <c:v>384.231884057971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880384"/>
        <c:axId val="250881920"/>
      </c:barChart>
      <c:catAx>
        <c:axId val="250880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50881920"/>
        <c:crosses val="autoZero"/>
        <c:auto val="1"/>
        <c:lblAlgn val="ctr"/>
        <c:lblOffset val="100"/>
        <c:noMultiLvlLbl val="0"/>
      </c:catAx>
      <c:valAx>
        <c:axId val="25088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88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[Project_DI.xlsx]Sheet2!PivotTable4</c:name>
    <c:fmtId val="7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 days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264</c:v>
                </c:pt>
                <c:pt idx="1">
                  <c:v>309</c:v>
                </c:pt>
                <c:pt idx="2">
                  <c:v>147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Absent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37</c:v>
                </c:pt>
                <c:pt idx="1">
                  <c:v>48</c:v>
                </c:pt>
                <c:pt idx="2">
                  <c:v>27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Present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248</c:v>
                </c:pt>
                <c:pt idx="1">
                  <c:v>258</c:v>
                </c:pt>
                <c:pt idx="2">
                  <c:v>94</c:v>
                </c:pt>
              </c:numCache>
            </c:numRef>
          </c:val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Leave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11</c:v>
                </c:pt>
                <c:pt idx="1">
                  <c:v>16</c:v>
                </c:pt>
                <c:pt idx="2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Percentage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</c:strCache>
            </c:strRef>
          </c:cat>
          <c:val>
            <c:numRef>
              <c:f>Sheet2!$F$4:$F$7</c:f>
              <c:numCache>
                <c:formatCode>General</c:formatCode>
                <c:ptCount val="3"/>
                <c:pt idx="0">
                  <c:v>1032.108695652174</c:v>
                </c:pt>
                <c:pt idx="1">
                  <c:v>1083.562582345191</c:v>
                </c:pt>
                <c:pt idx="2">
                  <c:v>384.231884057971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[Project_DI.xlsx]Pivot Table!PivotTable7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Priya - Excellent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Table'!$B$5:$B$7</c:f>
              <c:strCache>
                <c:ptCount val="1"/>
                <c:pt idx="0">
                  <c:v>Aayush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Table'!$B$8:$B$11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"/>
          <c:order val="1"/>
          <c:tx>
            <c:strRef>
              <c:f>'Pivot Table'!$D$5:$D$7</c:f>
              <c:strCache>
                <c:ptCount val="1"/>
                <c:pt idx="0">
                  <c:v>Akriti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Table'!$D$8:$D$11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'Pivot Table'!$F$5:$F$7</c:f>
              <c:strCache>
                <c:ptCount val="1"/>
                <c:pt idx="0">
                  <c:v>Akshit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Table'!$F$8:$F$11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3"/>
          <c:order val="3"/>
          <c:tx>
            <c:strRef>
              <c:f>'Pivot Table'!$H$5:$H$7</c:f>
              <c:strCache>
                <c:ptCount val="1"/>
                <c:pt idx="0">
                  <c:v>Amandeep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Table'!$H$8:$H$11</c:f>
              <c:numCache>
                <c:formatCode>General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4"/>
          <c:order val="4"/>
          <c:tx>
            <c:strRef>
              <c:f>'Pivot Table'!$J$5:$J$7</c:f>
              <c:strCache>
                <c:ptCount val="1"/>
                <c:pt idx="0">
                  <c:v>Ambika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Table'!$J$8:$J$11</c:f>
              <c:numCache>
                <c:formatCode>General</c:formatCode>
                <c:ptCount val="4"/>
                <c:pt idx="0">
                  <c:v>23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5"/>
          <c:order val="5"/>
          <c:tx>
            <c:strRef>
              <c:f>'Pivot Table'!$L$5:$L$7</c:f>
              <c:strCache>
                <c:ptCount val="1"/>
                <c:pt idx="0">
                  <c:v>Arshdeep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Table'!$L$8:$L$11</c:f>
              <c:numCache>
                <c:formatCode>General</c:formatCode>
                <c:ptCount val="4"/>
                <c:pt idx="0">
                  <c:v>18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</c:numCache>
            </c:numRef>
          </c:val>
        </c:ser>
        <c:ser>
          <c:idx val="6"/>
          <c:order val="6"/>
          <c:tx>
            <c:strRef>
              <c:f>'Pivot Table'!$N$5:$N$7</c:f>
              <c:strCache>
                <c:ptCount val="1"/>
                <c:pt idx="0">
                  <c:v>Gursimranjeet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Table'!$N$8:$N$11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7"/>
          <c:order val="7"/>
          <c:tx>
            <c:strRef>
              <c:f>'Pivot Table'!$P$5:$P$7</c:f>
              <c:strCache>
                <c:ptCount val="1"/>
                <c:pt idx="0">
                  <c:v>Harman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Table'!$P$8:$P$11</c:f>
              <c:numCache>
                <c:formatCode>General</c:formatCode>
                <c:ptCount val="4"/>
                <c:pt idx="0">
                  <c:v>21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8"/>
          <c:order val="8"/>
          <c:tx>
            <c:strRef>
              <c:f>'Pivot Table'!$R$5:$R$7</c:f>
              <c:strCache>
                <c:ptCount val="1"/>
                <c:pt idx="0">
                  <c:v>Jahanvi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Table'!$R$8:$R$11</c:f>
              <c:numCache>
                <c:formatCode>General</c:formatCode>
                <c:ptCount val="4"/>
                <c:pt idx="0">
                  <c:v>20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9"/>
          <c:order val="9"/>
          <c:tx>
            <c:strRef>
              <c:f>'Pivot Table'!$T$5:$T$7</c:f>
              <c:strCache>
                <c:ptCount val="1"/>
                <c:pt idx="0">
                  <c:v>Jainendra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Table'!$T$8:$T$11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0"/>
          <c:order val="10"/>
          <c:tx>
            <c:strRef>
              <c:f>'Pivot Table'!$V$5:$V$7</c:f>
              <c:strCache>
                <c:ptCount val="1"/>
                <c:pt idx="0">
                  <c:v>Jashanjot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Table'!$V$8:$V$11</c:f>
              <c:numCache>
                <c:formatCode>General</c:formatCode>
                <c:ptCount val="4"/>
                <c:pt idx="0">
                  <c:v>22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1"/>
          <c:order val="11"/>
          <c:tx>
            <c:strRef>
              <c:f>'Pivot Table'!$X$5:$X$7</c:f>
              <c:strCache>
                <c:ptCount val="1"/>
                <c:pt idx="0">
                  <c:v>Kabir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Table'!$X$8:$X$11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</c:ser>
        <c:ser>
          <c:idx val="12"/>
          <c:order val="12"/>
          <c:tx>
            <c:strRef>
              <c:f>'Pivot Table'!$Z$5:$Z$7</c:f>
              <c:strCache>
                <c:ptCount val="1"/>
                <c:pt idx="0">
                  <c:v>Kajal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Table'!$Z$8:$Z$11</c:f>
              <c:numCache>
                <c:formatCode>General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3"/>
          <c:order val="13"/>
          <c:tx>
            <c:strRef>
              <c:f>'Pivot Table'!$AB$5:$AB$7</c:f>
              <c:strCache>
                <c:ptCount val="1"/>
                <c:pt idx="0">
                  <c:v>Khushboo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Table'!$AB$8:$AB$11</c:f>
              <c:numCache>
                <c:formatCode>General</c:formatCode>
                <c:ptCount val="4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4"/>
          <c:order val="14"/>
          <c:tx>
            <c:strRef>
              <c:f>'Pivot Table'!$AD$5:$AD$7</c:f>
              <c:strCache>
                <c:ptCount val="1"/>
                <c:pt idx="0">
                  <c:v>Kirti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Table'!$AD$8:$AD$11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</c:numCache>
            </c:numRef>
          </c:val>
        </c:ser>
        <c:ser>
          <c:idx val="15"/>
          <c:order val="15"/>
          <c:tx>
            <c:strRef>
              <c:f>'Pivot Table'!$AF$5:$AF$7</c:f>
              <c:strCache>
                <c:ptCount val="1"/>
                <c:pt idx="0">
                  <c:v>Komal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Table'!$AF$8:$AF$11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6"/>
          <c:order val="16"/>
          <c:tx>
            <c:strRef>
              <c:f>'Pivot Table'!$AH$5:$AH$7</c:f>
              <c:strCache>
                <c:ptCount val="1"/>
                <c:pt idx="0">
                  <c:v>Neha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Table'!$AH$8:$AH$11</c:f>
              <c:numCache>
                <c:formatCode>General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17"/>
          <c:order val="17"/>
          <c:tx>
            <c:strRef>
              <c:f>'Pivot Table'!$AJ$5:$AJ$7</c:f>
              <c:strCache>
                <c:ptCount val="1"/>
                <c:pt idx="0">
                  <c:v>Nikhil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Table'!$AJ$8:$AJ$11</c:f>
              <c:numCache>
                <c:formatCode>General</c:formatCode>
                <c:ptCount val="4"/>
                <c:pt idx="0">
                  <c:v>21</c:v>
                </c:pt>
                <c:pt idx="1">
                  <c:v>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ser>
          <c:idx val="18"/>
          <c:order val="18"/>
          <c:tx>
            <c:strRef>
              <c:f>'Pivot Table'!$AL$5:$AL$7</c:f>
              <c:strCache>
                <c:ptCount val="1"/>
                <c:pt idx="0">
                  <c:v>Pawanjot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Table'!$AL$8:$AL$11</c:f>
              <c:numCache>
                <c:formatCode>General</c:formatCode>
                <c:ptCount val="4"/>
                <c:pt idx="0">
                  <c:v>20</c:v>
                </c:pt>
                <c:pt idx="1">
                  <c:v>3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19"/>
          <c:order val="19"/>
          <c:tx>
            <c:strRef>
              <c:f>'Pivot Table'!$AN$5:$AN$7</c:f>
              <c:strCache>
                <c:ptCount val="1"/>
                <c:pt idx="0">
                  <c:v>Priya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Table'!$AN$8:$AN$11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0"/>
          <c:order val="20"/>
          <c:tx>
            <c:strRef>
              <c:f>'Pivot Table'!$AP$5:$AP$7</c:f>
              <c:strCache>
                <c:ptCount val="1"/>
                <c:pt idx="0">
                  <c:v>Pulkit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Table'!$AP$8:$AP$11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1"/>
          <c:order val="21"/>
          <c:tx>
            <c:strRef>
              <c:f>'Pivot Table'!$AR$5:$AR$7</c:f>
              <c:strCache>
                <c:ptCount val="1"/>
                <c:pt idx="0">
                  <c:v>Rishit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Table'!$AR$8:$AR$11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2"/>
          <c:order val="22"/>
          <c:tx>
            <c:strRef>
              <c:f>'Pivot Table'!$AT$5:$AT$7</c:f>
              <c:strCache>
                <c:ptCount val="1"/>
                <c:pt idx="0">
                  <c:v>Ritik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Table'!$AT$8:$AT$11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3"/>
          <c:order val="23"/>
          <c:tx>
            <c:strRef>
              <c:f>'Pivot Table'!$AV$5:$AV$7</c:f>
              <c:strCache>
                <c:ptCount val="1"/>
                <c:pt idx="0">
                  <c:v>Riya - Good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Table'!$AV$8:$AV$11</c:f>
              <c:numCache>
                <c:formatCode>General</c:formatCode>
                <c:ptCount val="4"/>
                <c:pt idx="0">
                  <c:v>22</c:v>
                </c:pt>
                <c:pt idx="1">
                  <c:v>16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4"/>
          <c:order val="24"/>
          <c:tx>
            <c:strRef>
              <c:f>'Pivot Table'!$AX$5:$AX$7</c:f>
              <c:strCache>
                <c:ptCount val="1"/>
                <c:pt idx="0">
                  <c:v>Rohit - Low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Table'!$AX$8:$AX$11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5"/>
          <c:order val="25"/>
          <c:tx>
            <c:strRef>
              <c:f>'Pivot Table'!$AZ$5:$AZ$7</c:f>
              <c:strCache>
                <c:ptCount val="1"/>
                <c:pt idx="0">
                  <c:v>Sanjana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Table'!$AZ$8:$AZ$11</c:f>
              <c:numCache>
                <c:formatCode>General</c:formatCode>
                <c:ptCount val="4"/>
                <c:pt idx="0">
                  <c:v>24</c:v>
                </c:pt>
                <c:pt idx="1">
                  <c:v>1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6"/>
          <c:order val="26"/>
          <c:tx>
            <c:strRef>
              <c:f>'Pivot Table'!$BB$5:$BB$7</c:f>
              <c:strCache>
                <c:ptCount val="1"/>
                <c:pt idx="0">
                  <c:v>Shruti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Table'!$BB$8:$BB$11</c:f>
              <c:numCache>
                <c:formatCode>General</c:formatCode>
                <c:ptCount val="4"/>
                <c:pt idx="0">
                  <c:v>24</c:v>
                </c:pt>
                <c:pt idx="1">
                  <c:v>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ser>
          <c:idx val="27"/>
          <c:order val="27"/>
          <c:tx>
            <c:strRef>
              <c:f>'Pivot Table'!$BD$5:$BD$7</c:f>
              <c:strCache>
                <c:ptCount val="1"/>
                <c:pt idx="0">
                  <c:v>simran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Table'!$BD$8:$BD$11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8"/>
          <c:order val="28"/>
          <c:tx>
            <c:strRef>
              <c:f>'Pivot Table'!$BF$5:$BF$7</c:f>
              <c:strCache>
                <c:ptCount val="1"/>
                <c:pt idx="0">
                  <c:v>Varun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Table'!$BF$8:$BF$11</c:f>
              <c:numCache>
                <c:formatCode>General</c:formatCode>
                <c:ptCount val="4"/>
                <c:pt idx="0">
                  <c:v>23</c:v>
                </c:pt>
                <c:pt idx="1">
                  <c:v>2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</c:ser>
        <c:ser>
          <c:idx val="29"/>
          <c:order val="29"/>
          <c:tx>
            <c:strRef>
              <c:f>'Pivot Table'!$BH$5:$BH$7</c:f>
              <c:strCache>
                <c:ptCount val="1"/>
                <c:pt idx="0">
                  <c:v>Varuni - Excellent</c:v>
                </c:pt>
              </c:strCache>
            </c:strRef>
          </c:tx>
          <c:cat>
            <c:strRef>
              <c:f>'Pivot Table'!$A$8:$A$11</c:f>
              <c:strCache>
                <c:ptCount val="4"/>
                <c:pt idx="0">
                  <c:v>Sum of Present</c:v>
                </c:pt>
                <c:pt idx="1">
                  <c:v>Sum of Absent</c:v>
                </c:pt>
                <c:pt idx="2">
                  <c:v>Sum of Leave</c:v>
                </c:pt>
                <c:pt idx="3">
                  <c:v>Sum of Total days</c:v>
                </c:pt>
              </c:strCache>
            </c:strRef>
          </c:cat>
          <c:val>
            <c:numRef>
              <c:f>'Pivot Table'!$BH$8:$BH$11</c:f>
              <c:numCache>
                <c:formatCode>General</c:formatCode>
                <c:ptCount val="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12</xdr:row>
      <xdr:rowOff>114300</xdr:rowOff>
    </xdr:from>
    <xdr:to>
      <xdr:col>8</xdr:col>
      <xdr:colOff>60960</xdr:colOff>
      <xdr:row>33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179070</xdr:colOff>
      <xdr:row>12</xdr:row>
      <xdr:rowOff>133350</xdr:rowOff>
    </xdr:from>
    <xdr:to>
      <xdr:col>14</xdr:col>
      <xdr:colOff>190500</xdr:colOff>
      <xdr:row>33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10</xdr:row>
      <xdr:rowOff>73479</xdr:rowOff>
    </xdr:from>
    <xdr:to>
      <xdr:col>4</xdr:col>
      <xdr:colOff>899160</xdr:colOff>
      <xdr:row>25</xdr:row>
      <xdr:rowOff>73479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10</xdr:row>
      <xdr:rowOff>68580</xdr:rowOff>
    </xdr:from>
    <xdr:to>
      <xdr:col>13</xdr:col>
      <xdr:colOff>320040</xdr:colOff>
      <xdr:row>24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358685</xdr:colOff>
      <xdr:row>40</xdr:row>
      <xdr:rowOff>38643</xdr:rowOff>
    </xdr:from>
    <xdr:to>
      <xdr:col>6</xdr:col>
      <xdr:colOff>47897</xdr:colOff>
      <xdr:row>61</xdr:row>
      <xdr:rowOff>13062</xdr:rowOff>
    </xdr:to>
    <xdr:graphicFrame macro="">
      <xdr:nvGraphicFramePr>
        <xdr:cNvPr id="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10.768642592593" createdVersion="4" refreshedVersion="4" minRefreshableVersion="3" recordCount="30">
  <cacheSource type="worksheet">
    <worksheetSource ref="AN7:AS37" sheet="Attendance sheet"/>
  </cacheSource>
  <cacheFields count="6">
    <cacheField name="Total days" numFmtId="0">
      <sharedItems containsSemiMixedTypes="0" containsString="0" containsNumber="1" containsInteger="1" minValue="15" maxValue="25"/>
    </cacheField>
    <cacheField name="Present" numFmtId="0">
      <sharedItems containsSemiMixedTypes="0" containsString="0" containsNumber="1" containsInteger="1" minValue="9" maxValue="25"/>
    </cacheField>
    <cacheField name="Absent" numFmtId="0">
      <sharedItems containsSemiMixedTypes="0" containsString="0" containsNumber="1" containsInteger="1" minValue="0" maxValue="16"/>
    </cacheField>
    <cacheField name="Leave" numFmtId="0">
      <sharedItems containsSemiMixedTypes="0" containsString="0" containsNumber="1" containsInteger="1" minValue="0" maxValue="10"/>
    </cacheField>
    <cacheField name="Percentage" numFmtId="0">
      <sharedItems containsSemiMixedTypes="0" containsString="0" containsNumber="1" minValue="36" maxValue="100"/>
    </cacheField>
    <cacheField name="Status" numFmtId="0">
      <sharedItems count="3">
        <s v="Good"/>
        <s v="Excellent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10.802323495373" createdVersion="4" refreshedVersion="4" minRefreshableVersion="3" recordCount="30">
  <cacheSource type="worksheet">
    <worksheetSource ref="G7:AS37" sheet="Attendance sheet"/>
  </cacheSource>
  <cacheFields count="39">
    <cacheField name="ID NO" numFmtId="0">
      <sharedItems containsSemiMixedTypes="0" containsString="0" containsNumber="1" containsInteger="1" minValue="101" maxValue="130"/>
    </cacheField>
    <cacheField name="NAME" numFmtId="0">
      <sharedItems count="30">
        <s v="Khushboo"/>
        <s v="Shruti"/>
        <s v="Jahanvi"/>
        <s v="Kabir"/>
        <s v="Ritik"/>
        <s v="Pulkit"/>
        <s v="Rohit"/>
        <s v="Riya"/>
        <s v="Amandeep"/>
        <s v="Priya"/>
        <s v="Varuni"/>
        <s v="Akshit"/>
        <s v="Nikhil"/>
        <s v="Jainendra"/>
        <s v="Jashanjot"/>
        <s v="Pawanjot"/>
        <s v="Kirti"/>
        <s v="Aayush"/>
        <s v="Varun"/>
        <s v="Sanjana"/>
        <s v="Neha"/>
        <s v="Gursimranjeet"/>
        <s v="Ambika"/>
        <s v="simran"/>
        <s v="Komal"/>
        <s v="Kajal"/>
        <s v="Akriti"/>
        <s v="Arshdeep"/>
        <s v="Harman"/>
        <s v="Rishit"/>
      </sharedItems>
    </cacheField>
    <cacheField name="01" numFmtId="0">
      <sharedItems/>
    </cacheField>
    <cacheField name="02" numFmtId="0">
      <sharedItems/>
    </cacheField>
    <cacheField name="03" numFmtId="0">
      <sharedItems/>
    </cacheField>
    <cacheField name="04" numFmtId="0">
      <sharedItems/>
    </cacheField>
    <cacheField name="05" numFmtId="0">
      <sharedItems containsNonDate="0" containsString="0" containsBlank="1"/>
    </cacheField>
    <cacheField name="06" numFmtId="0">
      <sharedItems/>
    </cacheField>
    <cacheField name="07" numFmtId="0">
      <sharedItems/>
    </cacheField>
    <cacheField name="08" numFmtId="0">
      <sharedItems/>
    </cacheField>
    <cacheField name="09" numFmtId="0">
      <sharedItems/>
    </cacheField>
    <cacheField name="10" numFmtId="0">
      <sharedItems/>
    </cacheField>
    <cacheField name="11" numFmtId="0">
      <sharedItems/>
    </cacheField>
    <cacheField name="12" numFmtId="0">
      <sharedItems containsNonDate="0" containsString="0" containsBlank="1"/>
    </cacheField>
    <cacheField name="13" numFmtId="0">
      <sharedItems/>
    </cacheField>
    <cacheField name="14" numFmtId="0">
      <sharedItems/>
    </cacheField>
    <cacheField name="15" numFmtId="0">
      <sharedItems/>
    </cacheField>
    <cacheField name="16" numFmtId="0">
      <sharedItems/>
    </cacheField>
    <cacheField name="17" numFmtId="0">
      <sharedItems/>
    </cacheField>
    <cacheField name="18" numFmtId="0">
      <sharedItems/>
    </cacheField>
    <cacheField name="19" numFmtId="0">
      <sharedItems containsNonDate="0" containsString="0" containsBlank="1"/>
    </cacheField>
    <cacheField name="20" numFmtId="0">
      <sharedItems/>
    </cacheField>
    <cacheField name="21" numFmtId="0">
      <sharedItems/>
    </cacheField>
    <cacheField name="22" numFmtId="0">
      <sharedItems/>
    </cacheField>
    <cacheField name="23" numFmtId="0">
      <sharedItems/>
    </cacheField>
    <cacheField name="24" numFmtId="0">
      <sharedItems/>
    </cacheField>
    <cacheField name="25" numFmtId="0">
      <sharedItems/>
    </cacheField>
    <cacheField name="26" numFmtId="0">
      <sharedItems containsNonDate="0" containsString="0" containsBlank="1"/>
    </cacheField>
    <cacheField name="27" numFmtId="0">
      <sharedItems/>
    </cacheField>
    <cacheField name="28" numFmtId="0">
      <sharedItems/>
    </cacheField>
    <cacheField name="29" numFmtId="0">
      <sharedItems/>
    </cacheField>
    <cacheField name="30" numFmtId="0">
      <sharedItems/>
    </cacheField>
    <cacheField name="31" numFmtId="0">
      <sharedItems/>
    </cacheField>
    <cacheField name="Total days" numFmtId="0">
      <sharedItems containsSemiMixedTypes="0" containsString="0" containsNumber="1" containsInteger="1" minValue="15" maxValue="25"/>
    </cacheField>
    <cacheField name="Present" numFmtId="0">
      <sharedItems containsSemiMixedTypes="0" containsString="0" containsNumber="1" containsInteger="1" minValue="9" maxValue="25" count="12">
        <n v="22"/>
        <n v="24"/>
        <n v="20"/>
        <n v="17"/>
        <n v="19"/>
        <n v="9"/>
        <n v="18"/>
        <n v="25"/>
        <n v="21"/>
        <n v="12"/>
        <n v="23"/>
        <n v="16"/>
      </sharedItems>
    </cacheField>
    <cacheField name="Absent" numFmtId="0">
      <sharedItems containsSemiMixedTypes="0" containsString="0" containsNumber="1" containsInteger="1" minValue="0" maxValue="16" count="10">
        <n v="0"/>
        <n v="3"/>
        <n v="1"/>
        <n v="5"/>
        <n v="8"/>
        <n v="6"/>
        <n v="16"/>
        <n v="7"/>
        <n v="2"/>
        <n v="4"/>
      </sharedItems>
    </cacheField>
    <cacheField name="Leave" numFmtId="0">
      <sharedItems containsSemiMixedTypes="0" containsString="0" containsNumber="1" containsInteger="1" minValue="0" maxValue="10" count="6">
        <n v="0"/>
        <n v="3"/>
        <n v="2"/>
        <n v="1"/>
        <n v="10"/>
        <n v="5"/>
      </sharedItems>
    </cacheField>
    <cacheField name="Percentage" numFmtId="0">
      <sharedItems containsSemiMixedTypes="0" containsString="0" containsNumber="1" minValue="36" maxValue="100" count="19">
        <n v="88"/>
        <n v="96"/>
        <n v="80"/>
        <n v="77.272727272727266"/>
        <n v="68"/>
        <n v="76"/>
        <n v="36"/>
        <n v="72"/>
        <n v="100"/>
        <n v="86.956521739130437"/>
        <n v="91.304347826086953"/>
        <n v="83.333333333333343"/>
        <n v="95.833333333333343"/>
        <n v="92"/>
        <n v="91.666666666666657"/>
        <n v="69.565217391304344"/>
        <n v="90"/>
        <n v="84"/>
        <n v="66.666666666666657"/>
      </sharedItems>
    </cacheField>
    <cacheField name="Status" numFmtId="0">
      <sharedItems count="3">
        <s v="Good"/>
        <s v="Excellent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25"/>
    <n v="22"/>
    <n v="0"/>
    <n v="0"/>
    <n v="88"/>
    <x v="0"/>
  </r>
  <r>
    <n v="25"/>
    <n v="24"/>
    <n v="3"/>
    <n v="0"/>
    <n v="96"/>
    <x v="1"/>
  </r>
  <r>
    <n v="25"/>
    <n v="20"/>
    <n v="1"/>
    <n v="0"/>
    <n v="80"/>
    <x v="0"/>
  </r>
  <r>
    <n v="22"/>
    <n v="17"/>
    <n v="5"/>
    <n v="3"/>
    <n v="77.272727272727266"/>
    <x v="0"/>
  </r>
  <r>
    <n v="25"/>
    <n v="17"/>
    <n v="5"/>
    <n v="0"/>
    <n v="68"/>
    <x v="2"/>
  </r>
  <r>
    <n v="25"/>
    <n v="19"/>
    <n v="8"/>
    <n v="0"/>
    <n v="76"/>
    <x v="0"/>
  </r>
  <r>
    <n v="25"/>
    <n v="9"/>
    <n v="6"/>
    <n v="0"/>
    <n v="36"/>
    <x v="2"/>
  </r>
  <r>
    <n v="25"/>
    <n v="22"/>
    <n v="16"/>
    <n v="0"/>
    <n v="88"/>
    <x v="0"/>
  </r>
  <r>
    <n v="25"/>
    <n v="18"/>
    <n v="3"/>
    <n v="0"/>
    <n v="72"/>
    <x v="2"/>
  </r>
  <r>
    <n v="25"/>
    <n v="25"/>
    <n v="7"/>
    <n v="0"/>
    <n v="100"/>
    <x v="1"/>
  </r>
  <r>
    <n v="25"/>
    <n v="24"/>
    <n v="0"/>
    <n v="0"/>
    <n v="96"/>
    <x v="1"/>
  </r>
  <r>
    <n v="23"/>
    <n v="20"/>
    <n v="1"/>
    <n v="2"/>
    <n v="86.956521739130437"/>
    <x v="0"/>
  </r>
  <r>
    <n v="23"/>
    <n v="21"/>
    <n v="3"/>
    <n v="2"/>
    <n v="91.304347826086953"/>
    <x v="1"/>
  </r>
  <r>
    <n v="25"/>
    <n v="22"/>
    <n v="2"/>
    <n v="0"/>
    <n v="88"/>
    <x v="0"/>
  </r>
  <r>
    <n v="25"/>
    <n v="22"/>
    <n v="3"/>
    <n v="0"/>
    <n v="88"/>
    <x v="0"/>
  </r>
  <r>
    <n v="24"/>
    <n v="20"/>
    <n v="3"/>
    <n v="1"/>
    <n v="83.333333333333343"/>
    <x v="0"/>
  </r>
  <r>
    <n v="15"/>
    <n v="12"/>
    <n v="4"/>
    <n v="10"/>
    <n v="80"/>
    <x v="0"/>
  </r>
  <r>
    <n v="23"/>
    <n v="21"/>
    <n v="3"/>
    <n v="2"/>
    <n v="91.304347826086953"/>
    <x v="1"/>
  </r>
  <r>
    <n v="24"/>
    <n v="23"/>
    <n v="2"/>
    <n v="1"/>
    <n v="95.833333333333343"/>
    <x v="1"/>
  </r>
  <r>
    <n v="25"/>
    <n v="24"/>
    <n v="1"/>
    <n v="0"/>
    <n v="96"/>
    <x v="1"/>
  </r>
  <r>
    <n v="25"/>
    <n v="19"/>
    <n v="1"/>
    <n v="0"/>
    <n v="76"/>
    <x v="0"/>
  </r>
  <r>
    <n v="25"/>
    <n v="18"/>
    <n v="6"/>
    <n v="0"/>
    <n v="72"/>
    <x v="2"/>
  </r>
  <r>
    <n v="25"/>
    <n v="23"/>
    <n v="7"/>
    <n v="0"/>
    <n v="92"/>
    <x v="1"/>
  </r>
  <r>
    <n v="24"/>
    <n v="22"/>
    <n v="2"/>
    <n v="1"/>
    <n v="91.666666666666657"/>
    <x v="1"/>
  </r>
  <r>
    <n v="25"/>
    <n v="22"/>
    <n v="2"/>
    <n v="0"/>
    <n v="88"/>
    <x v="0"/>
  </r>
  <r>
    <n v="23"/>
    <n v="16"/>
    <n v="3"/>
    <n v="2"/>
    <n v="69.565217391304344"/>
    <x v="2"/>
  </r>
  <r>
    <n v="25"/>
    <n v="23"/>
    <n v="7"/>
    <n v="0"/>
    <n v="92"/>
    <x v="1"/>
  </r>
  <r>
    <n v="20"/>
    <n v="18"/>
    <n v="2"/>
    <n v="5"/>
    <n v="90"/>
    <x v="1"/>
  </r>
  <r>
    <n v="25"/>
    <n v="21"/>
    <n v="2"/>
    <n v="0"/>
    <n v="84"/>
    <x v="0"/>
  </r>
  <r>
    <n v="24"/>
    <n v="16"/>
    <n v="4"/>
    <n v="1"/>
    <n v="66.66666666666665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n v="101"/>
    <x v="0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a"/>
    <s v="a"/>
    <s v="a"/>
    <s v="p"/>
    <s v="p"/>
    <n v="25"/>
    <x v="0"/>
    <x v="0"/>
    <x v="0"/>
    <x v="0"/>
    <x v="0"/>
  </r>
  <r>
    <n v="102"/>
    <x v="1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a"/>
    <s v="p"/>
    <s v="p"/>
    <n v="25"/>
    <x v="1"/>
    <x v="1"/>
    <x v="0"/>
    <x v="1"/>
    <x v="1"/>
  </r>
  <r>
    <n v="103"/>
    <x v="2"/>
    <s v="p"/>
    <s v="p"/>
    <s v="p"/>
    <s v="p"/>
    <m/>
    <s v="a"/>
    <s v="a"/>
    <s v="p"/>
    <s v="p"/>
    <s v="p"/>
    <s v="p"/>
    <m/>
    <s v="p"/>
    <s v="p"/>
    <s v="p"/>
    <s v="a"/>
    <s v="a"/>
    <s v="p"/>
    <m/>
    <s v="p"/>
    <s v="p"/>
    <s v="p"/>
    <s v="p"/>
    <s v="p"/>
    <s v="p"/>
    <m/>
    <s v="p"/>
    <s v="p"/>
    <s v="a"/>
    <s v="p"/>
    <s v="p"/>
    <n v="25"/>
    <x v="2"/>
    <x v="2"/>
    <x v="0"/>
    <x v="2"/>
    <x v="0"/>
  </r>
  <r>
    <n v="104"/>
    <x v="3"/>
    <s v="p"/>
    <s v="p"/>
    <s v="a"/>
    <s v="l"/>
    <m/>
    <s v="l"/>
    <s v="l"/>
    <s v="p"/>
    <s v="p"/>
    <s v="p"/>
    <s v="p"/>
    <m/>
    <s v="p"/>
    <s v="p"/>
    <s v="p"/>
    <s v="p"/>
    <s v="p"/>
    <s v="a"/>
    <m/>
    <s v="p"/>
    <s v="p"/>
    <s v="p"/>
    <s v="a"/>
    <s v="a"/>
    <s v="a"/>
    <m/>
    <s v="p"/>
    <s v="p"/>
    <s v="p"/>
    <s v="l"/>
    <s v="l"/>
    <n v="22"/>
    <x v="3"/>
    <x v="3"/>
    <x v="1"/>
    <x v="3"/>
    <x v="0"/>
  </r>
  <r>
    <n v="105"/>
    <x v="4"/>
    <s v="p"/>
    <s v="p"/>
    <s v="a"/>
    <s v="a"/>
    <m/>
    <s v="a"/>
    <s v="a"/>
    <s v="p"/>
    <s v="p"/>
    <s v="p"/>
    <s v="a"/>
    <m/>
    <s v="a"/>
    <s v="p"/>
    <s v="p"/>
    <s v="a"/>
    <s v="p"/>
    <s v="a"/>
    <m/>
    <s v="p"/>
    <s v="p"/>
    <s v="p"/>
    <s v="p"/>
    <s v="p"/>
    <s v="p"/>
    <m/>
    <s v="p"/>
    <s v="p"/>
    <s v="p"/>
    <s v="l"/>
    <s v="l"/>
    <n v="25"/>
    <x v="3"/>
    <x v="3"/>
    <x v="0"/>
    <x v="4"/>
    <x v="2"/>
  </r>
  <r>
    <n v="106"/>
    <x v="5"/>
    <s v="p"/>
    <s v="p"/>
    <s v="a"/>
    <s v="a"/>
    <m/>
    <s v="a"/>
    <s v="a"/>
    <s v="p"/>
    <s v="p"/>
    <s v="p"/>
    <s v="p"/>
    <m/>
    <s v="p"/>
    <s v="p"/>
    <s v="p"/>
    <s v="p"/>
    <s v="p"/>
    <s v="p"/>
    <m/>
    <s v="p"/>
    <s v="p"/>
    <s v="p"/>
    <s v="p"/>
    <s v="a"/>
    <s v="a"/>
    <m/>
    <s v="p"/>
    <s v="p"/>
    <s v="p"/>
    <s v="l"/>
    <s v="l"/>
    <n v="25"/>
    <x v="4"/>
    <x v="4"/>
    <x v="0"/>
    <x v="5"/>
    <x v="0"/>
  </r>
  <r>
    <n v="107"/>
    <x v="6"/>
    <s v="p"/>
    <s v="p"/>
    <s v="a"/>
    <s v="a"/>
    <m/>
    <s v="a"/>
    <s v="a"/>
    <s v="p"/>
    <s v="a"/>
    <s v="a"/>
    <s v="a"/>
    <m/>
    <s v="a"/>
    <s v="a"/>
    <s v="p"/>
    <s v="a"/>
    <s v="a"/>
    <s v="a"/>
    <m/>
    <s v="a"/>
    <s v="a"/>
    <s v="p"/>
    <s v="a"/>
    <s v="a"/>
    <s v="p"/>
    <m/>
    <s v="p"/>
    <s v="p"/>
    <s v="p"/>
    <s v="p"/>
    <s v="p"/>
    <n v="25"/>
    <x v="5"/>
    <x v="5"/>
    <x v="0"/>
    <x v="6"/>
    <x v="2"/>
  </r>
  <r>
    <n v="108"/>
    <x v="7"/>
    <s v="p"/>
    <s v="p"/>
    <s v="p"/>
    <s v="a"/>
    <m/>
    <s v="a"/>
    <s v="a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n v="25"/>
    <x v="0"/>
    <x v="6"/>
    <x v="0"/>
    <x v="0"/>
    <x v="0"/>
  </r>
  <r>
    <n v="109"/>
    <x v="8"/>
    <s v="p"/>
    <s v="p"/>
    <s v="p"/>
    <s v="p"/>
    <m/>
    <s v="a"/>
    <s v="p"/>
    <s v="p"/>
    <s v="a"/>
    <s v="p"/>
    <s v="a"/>
    <m/>
    <s v="p"/>
    <s v="a"/>
    <s v="p"/>
    <s v="p"/>
    <s v="a"/>
    <s v="p"/>
    <m/>
    <s v="p"/>
    <s v="a"/>
    <s v="p"/>
    <s v="p"/>
    <s v="a"/>
    <s v="p"/>
    <m/>
    <s v="p"/>
    <s v="p"/>
    <s v="p"/>
    <s v="p"/>
    <s v="p"/>
    <n v="25"/>
    <x v="6"/>
    <x v="1"/>
    <x v="0"/>
    <x v="7"/>
    <x v="2"/>
  </r>
  <r>
    <n v="110"/>
    <x v="9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n v="25"/>
    <x v="7"/>
    <x v="7"/>
    <x v="0"/>
    <x v="8"/>
    <x v="1"/>
  </r>
  <r>
    <n v="111"/>
    <x v="10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a"/>
    <s v="p"/>
    <s v="p"/>
    <s v="p"/>
    <s v="p"/>
    <m/>
    <s v="p"/>
    <s v="p"/>
    <s v="p"/>
    <s v="p"/>
    <s v="p"/>
    <n v="25"/>
    <x v="1"/>
    <x v="0"/>
    <x v="0"/>
    <x v="1"/>
    <x v="1"/>
  </r>
  <r>
    <n v="112"/>
    <x v="11"/>
    <s v="p"/>
    <s v="p"/>
    <s v="p"/>
    <s v="p"/>
    <m/>
    <s v="p"/>
    <s v="p"/>
    <s v="p"/>
    <s v="p"/>
    <s v="p"/>
    <s v="p"/>
    <m/>
    <s v="p"/>
    <s v="p"/>
    <s v="p"/>
    <s v="l"/>
    <s v="l"/>
    <s v="p"/>
    <m/>
    <s v="a"/>
    <s v="a"/>
    <s v="p"/>
    <s v="p"/>
    <s v="p"/>
    <s v="p"/>
    <m/>
    <s v="p"/>
    <s v="p"/>
    <s v="a"/>
    <s v="a"/>
    <s v="a"/>
    <n v="23"/>
    <x v="2"/>
    <x v="2"/>
    <x v="2"/>
    <x v="9"/>
    <x v="0"/>
  </r>
  <r>
    <n v="113"/>
    <x v="12"/>
    <s v="p"/>
    <s v="p"/>
    <s v="p"/>
    <s v="p"/>
    <m/>
    <s v="p"/>
    <s v="p"/>
    <s v="p"/>
    <s v="p"/>
    <s v="p"/>
    <s v="p"/>
    <m/>
    <s v="p"/>
    <s v="p"/>
    <s v="p"/>
    <s v="l"/>
    <s v="l"/>
    <s v="p"/>
    <m/>
    <s v="a"/>
    <s v="a"/>
    <s v="p"/>
    <s v="p"/>
    <s v="p"/>
    <s v="p"/>
    <m/>
    <s v="p"/>
    <s v="p"/>
    <s v="p"/>
    <s v="p"/>
    <s v="p"/>
    <n v="23"/>
    <x v="8"/>
    <x v="1"/>
    <x v="2"/>
    <x v="10"/>
    <x v="1"/>
  </r>
  <r>
    <n v="114"/>
    <x v="13"/>
    <s v="p"/>
    <s v="p"/>
    <s v="p"/>
    <s v="p"/>
    <m/>
    <s v="p"/>
    <s v="p"/>
    <s v="p"/>
    <s v="p"/>
    <s v="p"/>
    <s v="p"/>
    <m/>
    <s v="p"/>
    <s v="p"/>
    <s v="p"/>
    <s v="p"/>
    <s v="a"/>
    <s v="p"/>
    <m/>
    <s v="a"/>
    <s v="a"/>
    <s v="p"/>
    <s v="p"/>
    <s v="p"/>
    <s v="p"/>
    <m/>
    <s v="p"/>
    <s v="p"/>
    <s v="p"/>
    <s v="p"/>
    <s v="p"/>
    <n v="25"/>
    <x v="0"/>
    <x v="8"/>
    <x v="0"/>
    <x v="0"/>
    <x v="0"/>
  </r>
  <r>
    <n v="115"/>
    <x v="14"/>
    <s v="p"/>
    <s v="p"/>
    <s v="p"/>
    <s v="p"/>
    <m/>
    <s v="p"/>
    <s v="p"/>
    <s v="p"/>
    <s v="p"/>
    <s v="p"/>
    <s v="p"/>
    <m/>
    <s v="p"/>
    <s v="p"/>
    <s v="p"/>
    <s v="a"/>
    <s v="a"/>
    <s v="p"/>
    <m/>
    <s v="p"/>
    <s v="p"/>
    <s v="p"/>
    <s v="p"/>
    <s v="p"/>
    <s v="p"/>
    <m/>
    <s v="p"/>
    <s v="p"/>
    <s v="a"/>
    <s v="a"/>
    <s v="a"/>
    <n v="25"/>
    <x v="0"/>
    <x v="1"/>
    <x v="0"/>
    <x v="0"/>
    <x v="0"/>
  </r>
  <r>
    <n v="116"/>
    <x v="15"/>
    <s v="p"/>
    <s v="p"/>
    <s v="p"/>
    <s v="p"/>
    <m/>
    <s v="p"/>
    <s v="p"/>
    <s v="p"/>
    <s v="p"/>
    <s v="p"/>
    <s v="p"/>
    <m/>
    <s v="p"/>
    <s v="p"/>
    <s v="p"/>
    <s v="a"/>
    <s v="a"/>
    <s v="p"/>
    <m/>
    <s v="p"/>
    <s v="p"/>
    <s v="p"/>
    <s v="l"/>
    <s v="p"/>
    <s v="p"/>
    <m/>
    <s v="a"/>
    <s v="a"/>
    <s v="p"/>
    <s v="p"/>
    <s v="p"/>
    <n v="24"/>
    <x v="2"/>
    <x v="1"/>
    <x v="3"/>
    <x v="11"/>
    <x v="0"/>
  </r>
  <r>
    <n v="117"/>
    <x v="16"/>
    <s v="p"/>
    <s v="p"/>
    <s v="p"/>
    <s v="p"/>
    <m/>
    <s v="p"/>
    <s v="p"/>
    <s v="l"/>
    <s v="l"/>
    <s v="l"/>
    <s v="l"/>
    <m/>
    <s v="l"/>
    <s v="l"/>
    <s v="l"/>
    <s v="l"/>
    <s v="l"/>
    <s v="l"/>
    <m/>
    <s v="p"/>
    <s v="p"/>
    <s v="p"/>
    <s v="p"/>
    <s v="p"/>
    <s v="p"/>
    <m/>
    <s v="a"/>
    <s v="a"/>
    <s v="a"/>
    <s v="a"/>
    <s v="p"/>
    <n v="15"/>
    <x v="9"/>
    <x v="9"/>
    <x v="4"/>
    <x v="2"/>
    <x v="0"/>
  </r>
  <r>
    <n v="118"/>
    <x v="17"/>
    <s v="p"/>
    <s v="p"/>
    <s v="p"/>
    <s v="p"/>
    <m/>
    <s v="p"/>
    <s v="p"/>
    <s v="p"/>
    <s v="p"/>
    <s v="p"/>
    <s v="p"/>
    <m/>
    <s v="p"/>
    <s v="p"/>
    <s v="l"/>
    <s v="a"/>
    <s v="a"/>
    <s v="p"/>
    <m/>
    <s v="p"/>
    <s v="p"/>
    <s v="p"/>
    <s v="p"/>
    <s v="l"/>
    <s v="p"/>
    <m/>
    <s v="p"/>
    <s v="p"/>
    <s v="p"/>
    <s v="p"/>
    <s v="p"/>
    <n v="23"/>
    <x v="8"/>
    <x v="1"/>
    <x v="2"/>
    <x v="10"/>
    <x v="1"/>
  </r>
  <r>
    <n v="119"/>
    <x v="18"/>
    <s v="p"/>
    <s v="p"/>
    <s v="p"/>
    <s v="p"/>
    <m/>
    <s v="p"/>
    <s v="p"/>
    <s v="p"/>
    <s v="p"/>
    <s v="p"/>
    <s v="p"/>
    <m/>
    <s v="p"/>
    <s v="p"/>
    <s v="p"/>
    <s v="a"/>
    <s v="p"/>
    <s v="p"/>
    <m/>
    <s v="p"/>
    <s v="p"/>
    <s v="p"/>
    <s v="p"/>
    <s v="p"/>
    <s v="p"/>
    <m/>
    <s v="p"/>
    <s v="l"/>
    <s v="p"/>
    <s v="a"/>
    <s v="a"/>
    <n v="24"/>
    <x v="10"/>
    <x v="8"/>
    <x v="3"/>
    <x v="12"/>
    <x v="1"/>
  </r>
  <r>
    <n v="120"/>
    <x v="19"/>
    <s v="p"/>
    <s v="p"/>
    <s v="p"/>
    <s v="p"/>
    <m/>
    <s v="p"/>
    <s v="p"/>
    <s v="p"/>
    <s v="p"/>
    <s v="p"/>
    <s v="p"/>
    <m/>
    <s v="p"/>
    <s v="p"/>
    <s v="p"/>
    <s v="p"/>
    <s v="p"/>
    <s v="a"/>
    <m/>
    <s v="p"/>
    <s v="p"/>
    <s v="p"/>
    <s v="p"/>
    <s v="p"/>
    <s v="p"/>
    <m/>
    <s v="p"/>
    <s v="p"/>
    <s v="p"/>
    <s v="a"/>
    <s v="l"/>
    <n v="25"/>
    <x v="1"/>
    <x v="2"/>
    <x v="0"/>
    <x v="1"/>
    <x v="1"/>
  </r>
  <r>
    <n v="121"/>
    <x v="20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a"/>
    <s v="a"/>
    <s v="a"/>
    <s v="a"/>
    <s v="a"/>
    <m/>
    <s v="p"/>
    <s v="p"/>
    <s v="a"/>
    <s v="p"/>
    <s v="a"/>
    <n v="25"/>
    <x v="4"/>
    <x v="2"/>
    <x v="0"/>
    <x v="5"/>
    <x v="0"/>
  </r>
  <r>
    <n v="122"/>
    <x v="21"/>
    <s v="p"/>
    <s v="a"/>
    <s v="a"/>
    <s v="a"/>
    <m/>
    <s v="a"/>
    <s v="a"/>
    <s v="p"/>
    <s v="p"/>
    <s v="p"/>
    <s v="p"/>
    <m/>
    <s v="p"/>
    <s v="p"/>
    <s v="p"/>
    <s v="p"/>
    <s v="a"/>
    <s v="p"/>
    <m/>
    <s v="p"/>
    <s v="p"/>
    <s v="p"/>
    <s v="p"/>
    <s v="p"/>
    <s v="p"/>
    <m/>
    <s v="p"/>
    <s v="p"/>
    <s v="a"/>
    <s v="p"/>
    <s v="l"/>
    <n v="25"/>
    <x v="6"/>
    <x v="5"/>
    <x v="0"/>
    <x v="7"/>
    <x v="2"/>
  </r>
  <r>
    <n v="123"/>
    <x v="22"/>
    <s v="p"/>
    <s v="a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a"/>
    <s v="a"/>
    <s v="a"/>
    <n v="25"/>
    <x v="10"/>
    <x v="7"/>
    <x v="0"/>
    <x v="13"/>
    <x v="1"/>
  </r>
  <r>
    <n v="124"/>
    <x v="23"/>
    <s v="p"/>
    <s v="p"/>
    <s v="p"/>
    <s v="p"/>
    <m/>
    <s v="p"/>
    <s v="p"/>
    <s v="p"/>
    <s v="p"/>
    <s v="p"/>
    <s v="a"/>
    <m/>
    <s v="p"/>
    <s v="p"/>
    <s v="p"/>
    <s v="p"/>
    <s v="p"/>
    <s v="p"/>
    <m/>
    <s v="p"/>
    <s v="l"/>
    <s v="p"/>
    <s v="p"/>
    <s v="p"/>
    <s v="p"/>
    <m/>
    <s v="p"/>
    <s v="p"/>
    <s v="a"/>
    <s v="a"/>
    <s v="a"/>
    <n v="24"/>
    <x v="0"/>
    <x v="8"/>
    <x v="3"/>
    <x v="14"/>
    <x v="1"/>
  </r>
  <r>
    <n v="125"/>
    <x v="24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p"/>
    <s v="a"/>
    <s v="a"/>
    <m/>
    <s v="p"/>
    <s v="p"/>
    <s v="a"/>
    <s v="p"/>
    <s v="p"/>
    <n v="25"/>
    <x v="0"/>
    <x v="8"/>
    <x v="0"/>
    <x v="0"/>
    <x v="0"/>
  </r>
  <r>
    <n v="126"/>
    <x v="25"/>
    <s v="p"/>
    <s v="p"/>
    <s v="p"/>
    <s v="p"/>
    <m/>
    <s v="l"/>
    <s v="l"/>
    <s v="p"/>
    <s v="a"/>
    <s v="p"/>
    <s v="p"/>
    <m/>
    <s v="p"/>
    <s v="a"/>
    <s v="p"/>
    <s v="p"/>
    <s v="a"/>
    <s v="a"/>
    <m/>
    <s v="a"/>
    <s v="a"/>
    <s v="p"/>
    <s v="p"/>
    <s v="p"/>
    <s v="p"/>
    <m/>
    <s v="p"/>
    <s v="p"/>
    <s v="a"/>
    <s v="p"/>
    <s v="p"/>
    <n v="23"/>
    <x v="11"/>
    <x v="1"/>
    <x v="2"/>
    <x v="15"/>
    <x v="2"/>
  </r>
  <r>
    <n v="127"/>
    <x v="26"/>
    <s v="p"/>
    <s v="p"/>
    <s v="p"/>
    <s v="p"/>
    <m/>
    <s v="p"/>
    <s v="p"/>
    <s v="p"/>
    <s v="p"/>
    <s v="p"/>
    <s v="p"/>
    <m/>
    <s v="p"/>
    <s v="p"/>
    <s v="p"/>
    <s v="p"/>
    <s v="p"/>
    <s v="p"/>
    <m/>
    <s v="p"/>
    <s v="a"/>
    <s v="p"/>
    <s v="p"/>
    <s v="p"/>
    <s v="p"/>
    <m/>
    <s v="p"/>
    <s v="p"/>
    <s v="a"/>
    <s v="p"/>
    <s v="p"/>
    <n v="25"/>
    <x v="10"/>
    <x v="7"/>
    <x v="0"/>
    <x v="13"/>
    <x v="1"/>
  </r>
  <r>
    <n v="128"/>
    <x v="27"/>
    <s v="p"/>
    <s v="a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p"/>
    <s v="l"/>
    <s v="l"/>
    <s v="l"/>
    <m/>
    <s v="l"/>
    <s v="l"/>
    <s v="a"/>
    <s v="a"/>
    <s v="p"/>
    <n v="20"/>
    <x v="6"/>
    <x v="8"/>
    <x v="5"/>
    <x v="16"/>
    <x v="1"/>
  </r>
  <r>
    <n v="129"/>
    <x v="28"/>
    <s v="p"/>
    <s v="a"/>
    <s v="p"/>
    <s v="p"/>
    <m/>
    <s v="p"/>
    <s v="p"/>
    <s v="p"/>
    <s v="p"/>
    <s v="p"/>
    <s v="p"/>
    <m/>
    <s v="p"/>
    <s v="p"/>
    <s v="p"/>
    <s v="p"/>
    <s v="p"/>
    <s v="p"/>
    <m/>
    <s v="p"/>
    <s v="p"/>
    <s v="a"/>
    <s v="a"/>
    <s v="p"/>
    <s v="p"/>
    <m/>
    <s v="p"/>
    <s v="p"/>
    <s v="a"/>
    <s v="p"/>
    <s v="p"/>
    <n v="25"/>
    <x v="8"/>
    <x v="8"/>
    <x v="0"/>
    <x v="17"/>
    <x v="0"/>
  </r>
  <r>
    <n v="130"/>
    <x v="29"/>
    <s v="p"/>
    <s v="a"/>
    <s v="p"/>
    <s v="p"/>
    <m/>
    <s v="p"/>
    <s v="p"/>
    <s v="p"/>
    <s v="a"/>
    <s v="a"/>
    <s v="a"/>
    <m/>
    <s v="a"/>
    <s v="a"/>
    <s v="p"/>
    <s v="p"/>
    <s v="l"/>
    <s v="p"/>
    <m/>
    <s v="p"/>
    <s v="p"/>
    <s v="p"/>
    <s v="p"/>
    <s v="p"/>
    <s v="p"/>
    <m/>
    <s v="p"/>
    <s v="a"/>
    <s v="a"/>
    <s v="a"/>
    <s v="p"/>
    <n v="24"/>
    <x v="11"/>
    <x v="9"/>
    <x v="3"/>
    <x v="1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5:BJ11" firstHeaderRow="1" firstDataRow="3" firstDataCol="1" rowPageCount="1" colPageCount="1"/>
  <pivotFields count="39">
    <pivotField showAll="0"/>
    <pivotField axis="axisCol" showAll="0">
      <items count="31">
        <item x="17"/>
        <item x="26"/>
        <item x="11"/>
        <item x="8"/>
        <item x="22"/>
        <item x="27"/>
        <item x="21"/>
        <item x="28"/>
        <item x="2"/>
        <item x="13"/>
        <item x="14"/>
        <item x="3"/>
        <item x="25"/>
        <item x="0"/>
        <item x="16"/>
        <item x="24"/>
        <item x="20"/>
        <item x="12"/>
        <item x="15"/>
        <item x="9"/>
        <item x="5"/>
        <item x="29"/>
        <item x="4"/>
        <item x="7"/>
        <item x="6"/>
        <item x="19"/>
        <item x="1"/>
        <item x="23"/>
        <item x="1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13">
        <item x="5"/>
        <item x="9"/>
        <item x="11"/>
        <item x="3"/>
        <item x="6"/>
        <item x="4"/>
        <item x="2"/>
        <item x="8"/>
        <item x="0"/>
        <item x="10"/>
        <item x="1"/>
        <item x="7"/>
        <item t="default"/>
      </items>
    </pivotField>
    <pivotField dataField="1" showAll="0">
      <items count="11">
        <item x="0"/>
        <item x="2"/>
        <item x="8"/>
        <item x="1"/>
        <item x="9"/>
        <item x="3"/>
        <item x="5"/>
        <item x="7"/>
        <item x="4"/>
        <item x="6"/>
        <item t="default"/>
      </items>
    </pivotField>
    <pivotField dataField="1" showAll="0">
      <items count="7">
        <item x="0"/>
        <item x="3"/>
        <item x="2"/>
        <item x="1"/>
        <item x="5"/>
        <item x="4"/>
        <item t="default"/>
      </items>
    </pivotField>
    <pivotField axis="axisPage" showAll="0">
      <items count="20">
        <item x="6"/>
        <item x="18"/>
        <item x="4"/>
        <item x="15"/>
        <item x="7"/>
        <item x="5"/>
        <item x="3"/>
        <item x="2"/>
        <item x="11"/>
        <item x="17"/>
        <item x="9"/>
        <item x="0"/>
        <item x="16"/>
        <item x="10"/>
        <item x="14"/>
        <item x="13"/>
        <item x="12"/>
        <item x="1"/>
        <item x="8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2">
    <field x="1"/>
    <field x="38"/>
  </colFields>
  <colItems count="61">
    <i>
      <x/>
      <x/>
    </i>
    <i t="default">
      <x/>
    </i>
    <i>
      <x v="1"/>
      <x/>
    </i>
    <i t="default">
      <x v="1"/>
    </i>
    <i>
      <x v="2"/>
      <x v="1"/>
    </i>
    <i t="default">
      <x v="2"/>
    </i>
    <i>
      <x v="3"/>
      <x v="2"/>
    </i>
    <i t="default">
      <x v="3"/>
    </i>
    <i>
      <x v="4"/>
      <x/>
    </i>
    <i t="default">
      <x v="4"/>
    </i>
    <i>
      <x v="5"/>
      <x/>
    </i>
    <i t="default">
      <x v="5"/>
    </i>
    <i>
      <x v="6"/>
      <x v="2"/>
    </i>
    <i t="default">
      <x v="6"/>
    </i>
    <i>
      <x v="7"/>
      <x v="1"/>
    </i>
    <i t="default">
      <x v="7"/>
    </i>
    <i>
      <x v="8"/>
      <x v="1"/>
    </i>
    <i t="default">
      <x v="8"/>
    </i>
    <i>
      <x v="9"/>
      <x v="1"/>
    </i>
    <i t="default">
      <x v="9"/>
    </i>
    <i>
      <x v="10"/>
      <x v="1"/>
    </i>
    <i t="default">
      <x v="10"/>
    </i>
    <i>
      <x v="11"/>
      <x v="1"/>
    </i>
    <i t="default">
      <x v="11"/>
    </i>
    <i>
      <x v="12"/>
      <x v="2"/>
    </i>
    <i t="default">
      <x v="12"/>
    </i>
    <i>
      <x v="13"/>
      <x v="1"/>
    </i>
    <i t="default">
      <x v="13"/>
    </i>
    <i>
      <x v="14"/>
      <x v="1"/>
    </i>
    <i t="default">
      <x v="14"/>
    </i>
    <i>
      <x v="15"/>
      <x v="1"/>
    </i>
    <i t="default">
      <x v="15"/>
    </i>
    <i>
      <x v="16"/>
      <x v="1"/>
    </i>
    <i t="default">
      <x v="16"/>
    </i>
    <i>
      <x v="17"/>
      <x/>
    </i>
    <i t="default">
      <x v="17"/>
    </i>
    <i>
      <x v="18"/>
      <x v="1"/>
    </i>
    <i t="default">
      <x v="18"/>
    </i>
    <i>
      <x v="19"/>
      <x/>
    </i>
    <i t="default">
      <x v="19"/>
    </i>
    <i>
      <x v="20"/>
      <x v="1"/>
    </i>
    <i t="default">
      <x v="20"/>
    </i>
    <i>
      <x v="21"/>
      <x v="2"/>
    </i>
    <i t="default">
      <x v="21"/>
    </i>
    <i>
      <x v="22"/>
      <x v="2"/>
    </i>
    <i t="default">
      <x v="22"/>
    </i>
    <i>
      <x v="23"/>
      <x v="1"/>
    </i>
    <i t="default">
      <x v="23"/>
    </i>
    <i>
      <x v="24"/>
      <x v="2"/>
    </i>
    <i t="default">
      <x v="24"/>
    </i>
    <i>
      <x v="25"/>
      <x/>
    </i>
    <i t="default">
      <x v="25"/>
    </i>
    <i>
      <x v="26"/>
      <x/>
    </i>
    <i t="default">
      <x v="26"/>
    </i>
    <i>
      <x v="27"/>
      <x/>
    </i>
    <i t="default">
      <x v="27"/>
    </i>
    <i>
      <x v="28"/>
      <x/>
    </i>
    <i t="default">
      <x v="28"/>
    </i>
    <i>
      <x v="29"/>
      <x/>
    </i>
    <i t="default">
      <x v="29"/>
    </i>
    <i t="grand">
      <x/>
    </i>
  </colItems>
  <pageFields count="1">
    <pageField fld="37" hier="-1"/>
  </pageFields>
  <dataFields count="4">
    <dataField name="Sum of Present" fld="34" baseField="0" baseItem="0"/>
    <dataField name="Sum of Absent" fld="35" baseField="0" baseItem="0"/>
    <dataField name="Sum of Leave" fld="36" baseField="0" baseItem="0"/>
    <dataField name="Sum of Total days" fld="33" baseField="0" baseItem="0"/>
  </dataFields>
  <chartFormats count="90">
    <chartFormat chart="4" format="9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8" count="1" selected="0">
            <x v="0"/>
          </reference>
        </references>
      </pivotArea>
    </chartFormat>
    <chartFormat chart="4" format="9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8" count="1" selected="0">
            <x v="0"/>
          </reference>
        </references>
      </pivotArea>
    </chartFormat>
    <chartFormat chart="4" format="9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8" count="1" selected="0">
            <x v="1"/>
          </reference>
        </references>
      </pivotArea>
    </chartFormat>
    <chartFormat chart="4" format="9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8" count="1" selected="0">
            <x v="2"/>
          </reference>
        </references>
      </pivotArea>
    </chartFormat>
    <chartFormat chart="4" format="9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8" count="1" selected="0">
            <x v="0"/>
          </reference>
        </references>
      </pivotArea>
    </chartFormat>
    <chartFormat chart="4" format="9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8" count="1" selected="0">
            <x v="0"/>
          </reference>
        </references>
      </pivotArea>
    </chartFormat>
    <chartFormat chart="4" format="9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8" count="1" selected="0">
            <x v="2"/>
          </reference>
        </references>
      </pivotArea>
    </chartFormat>
    <chartFormat chart="4" format="9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8" count="1" selected="0">
            <x v="1"/>
          </reference>
        </references>
      </pivotArea>
    </chartFormat>
    <chartFormat chart="4" format="9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8" count="1" selected="0">
            <x v="1"/>
          </reference>
        </references>
      </pivotArea>
    </chartFormat>
    <chartFormat chart="4" format="9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8" count="1" selected="0">
            <x v="1"/>
          </reference>
        </references>
      </pivotArea>
    </chartFormat>
    <chartFormat chart="4" format="10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38" count="1" selected="0">
            <x v="1"/>
          </reference>
        </references>
      </pivotArea>
    </chartFormat>
    <chartFormat chart="4" format="10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8" count="1" selected="0">
            <x v="1"/>
          </reference>
        </references>
      </pivotArea>
    </chartFormat>
    <chartFormat chart="4" format="10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38" count="1" selected="0">
            <x v="2"/>
          </reference>
        </references>
      </pivotArea>
    </chartFormat>
    <chartFormat chart="4" format="10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38" count="1" selected="0">
            <x v="1"/>
          </reference>
        </references>
      </pivotArea>
    </chartFormat>
    <chartFormat chart="4" format="10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38" count="1" selected="0">
            <x v="1"/>
          </reference>
        </references>
      </pivotArea>
    </chartFormat>
    <chartFormat chart="4" format="10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38" count="1" selected="0">
            <x v="1"/>
          </reference>
        </references>
      </pivotArea>
    </chartFormat>
    <chartFormat chart="4" format="10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38" count="1" selected="0">
            <x v="1"/>
          </reference>
        </references>
      </pivotArea>
    </chartFormat>
    <chartFormat chart="4" format="10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8" count="1" selected="0">
            <x v="0"/>
          </reference>
        </references>
      </pivotArea>
    </chartFormat>
    <chartFormat chart="4" format="10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8" count="1" selected="0">
            <x v="1"/>
          </reference>
        </references>
      </pivotArea>
    </chartFormat>
    <chartFormat chart="4" format="10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8" count="1" selected="0">
            <x v="0"/>
          </reference>
        </references>
      </pivotArea>
    </chartFormat>
    <chartFormat chart="4" format="1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8" count="1" selected="0">
            <x v="1"/>
          </reference>
        </references>
      </pivotArea>
    </chartFormat>
    <chartFormat chart="4" format="1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8" count="1" selected="0">
            <x v="2"/>
          </reference>
        </references>
      </pivotArea>
    </chartFormat>
    <chartFormat chart="4" format="1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8" count="1" selected="0">
            <x v="2"/>
          </reference>
        </references>
      </pivotArea>
    </chartFormat>
    <chartFormat chart="4" format="1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8" count="1" selected="0">
            <x v="1"/>
          </reference>
        </references>
      </pivotArea>
    </chartFormat>
    <chartFormat chart="4" format="1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8" count="1" selected="0">
            <x v="2"/>
          </reference>
        </references>
      </pivotArea>
    </chartFormat>
    <chartFormat chart="4" format="1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38" count="1" selected="0">
            <x v="0"/>
          </reference>
        </references>
      </pivotArea>
    </chartFormat>
    <chartFormat chart="4" format="1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8" count="1" selected="0">
            <x v="0"/>
          </reference>
        </references>
      </pivotArea>
    </chartFormat>
    <chartFormat chart="4" format="1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8" count="1" selected="0">
            <x v="0"/>
          </reference>
        </references>
      </pivotArea>
    </chartFormat>
    <chartFormat chart="4" format="1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8" count="1" selected="0">
            <x v="0"/>
          </reference>
        </references>
      </pivotArea>
    </chartFormat>
    <chartFormat chart="4" format="1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8" count="1" selected="0">
            <x v="0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8" count="1" selected="0">
            <x v="0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8" count="1" selected="0">
            <x v="0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8" count="1" selected="0">
            <x v="1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8" count="1" selected="0">
            <x v="2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8" count="1" selected="0">
            <x v="0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8" count="1" selected="0">
            <x v="0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8" count="1" selected="0">
            <x v="2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8" count="1" selected="0">
            <x v="1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8" count="1" selected="0">
            <x v="1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8" count="1" selected="0">
            <x v="1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38" count="1" selected="0">
            <x v="1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8" count="1" selected="0">
            <x v="1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38" count="1" selected="0">
            <x v="2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38" count="1" selected="0">
            <x v="1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38" count="1" selected="0">
            <x v="1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38" count="1" selected="0">
            <x v="1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38" count="1" selected="0">
            <x v="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8" count="1" selected="0">
            <x v="0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8" count="1" selected="0">
            <x v="1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8" count="1" selected="0">
            <x v="0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8" count="1" selected="0">
            <x v="1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8" count="1" selected="0">
            <x v="2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8" count="1" selected="0">
            <x v="2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8" count="1" selected="0">
            <x v="1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8" count="1" selected="0">
            <x v="2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38" count="1" selected="0">
            <x v="0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8" count="1" selected="0">
            <x v="0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8" count="1" selected="0">
            <x v="0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8" count="1" selected="0">
            <x v="0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8" count="1" selected="0">
            <x v="0"/>
          </reference>
        </references>
      </pivotArea>
    </chartFormat>
    <chartFormat chart="5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8" count="1" selected="0">
            <x v="0"/>
          </reference>
        </references>
      </pivotArea>
    </chartFormat>
    <chartFormat chart="5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8" count="1" selected="0">
            <x v="0"/>
          </reference>
        </references>
      </pivotArea>
    </chartFormat>
    <chartFormat chart="5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8" count="1" selected="0">
            <x v="1"/>
          </reference>
        </references>
      </pivotArea>
    </chartFormat>
    <chartFormat chart="5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8" count="1" selected="0">
            <x v="2"/>
          </reference>
        </references>
      </pivotArea>
    </chartFormat>
    <chartFormat chart="5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8" count="1" selected="0">
            <x v="0"/>
          </reference>
        </references>
      </pivotArea>
    </chartFormat>
    <chartFormat chart="5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8" count="1" selected="0">
            <x v="0"/>
          </reference>
        </references>
      </pivotArea>
    </chartFormat>
    <chartFormat chart="5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8" count="1" selected="0">
            <x v="2"/>
          </reference>
        </references>
      </pivotArea>
    </chartFormat>
    <chartFormat chart="5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8" count="1" selected="0">
            <x v="1"/>
          </reference>
        </references>
      </pivotArea>
    </chartFormat>
    <chartFormat chart="5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8" count="1" selected="0">
            <x v="1"/>
          </reference>
        </references>
      </pivotArea>
    </chartFormat>
    <chartFormat chart="5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8" count="1" selected="0">
            <x v="1"/>
          </reference>
        </references>
      </pivotArea>
    </chartFormat>
    <chartFormat chart="5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38" count="1" selected="0">
            <x v="1"/>
          </reference>
        </references>
      </pivotArea>
    </chartFormat>
    <chartFormat chart="5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8" count="1" selected="0">
            <x v="1"/>
          </reference>
        </references>
      </pivotArea>
    </chartFormat>
    <chartFormat chart="5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38" count="1" selected="0">
            <x v="2"/>
          </reference>
        </references>
      </pivotArea>
    </chartFormat>
    <chartFormat chart="5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38" count="1" selected="0">
            <x v="1"/>
          </reference>
        </references>
      </pivotArea>
    </chartFormat>
    <chartFormat chart="5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38" count="1" selected="0">
            <x v="1"/>
          </reference>
        </references>
      </pivotArea>
    </chartFormat>
    <chartFormat chart="5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38" count="1" selected="0">
            <x v="1"/>
          </reference>
        </references>
      </pivotArea>
    </chartFormat>
    <chartFormat chart="5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38" count="1" selected="0">
            <x v="1"/>
          </reference>
        </references>
      </pivotArea>
    </chartFormat>
    <chartFormat chart="5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8" count="1" selected="0">
            <x v="0"/>
          </reference>
        </references>
      </pivotArea>
    </chartFormat>
    <chartFormat chart="5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8" count="1" selected="0">
            <x v="1"/>
          </reference>
        </references>
      </pivotArea>
    </chartFormat>
    <chartFormat chart="5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8" count="1" selected="0">
            <x v="0"/>
          </reference>
        </references>
      </pivotArea>
    </chartFormat>
    <chartFormat chart="5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8" count="1" selected="0">
            <x v="1"/>
          </reference>
        </references>
      </pivotArea>
    </chartFormat>
    <chartFormat chart="5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8" count="1" selected="0">
            <x v="2"/>
          </reference>
        </references>
      </pivotArea>
    </chartFormat>
    <chartFormat chart="5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8" count="1" selected="0">
            <x v="2"/>
          </reference>
        </references>
      </pivotArea>
    </chartFormat>
    <chartFormat chart="5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8" count="1" selected="0">
            <x v="1"/>
          </reference>
        </references>
      </pivotArea>
    </chartFormat>
    <chartFormat chart="5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8" count="1" selected="0">
            <x v="2"/>
          </reference>
        </references>
      </pivotArea>
    </chartFormat>
    <chartFormat chart="5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38" count="1" selected="0">
            <x v="0"/>
          </reference>
        </references>
      </pivotArea>
    </chartFormat>
    <chartFormat chart="5" format="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8" count="1" selected="0">
            <x v="0"/>
          </reference>
        </references>
      </pivotArea>
    </chartFormat>
    <chartFormat chart="5" format="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8" count="1" selected="0">
            <x v="0"/>
          </reference>
        </references>
      </pivotArea>
    </chartFormat>
    <chartFormat chart="5" format="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8" count="1" selected="0">
            <x v="0"/>
          </reference>
        </references>
      </pivotArea>
    </chartFormat>
    <chartFormat chart="5" format="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A3:F7" firstHeaderRow="0" firstDataRow="1" firstDataCol="1"/>
  <pivotFields count="6"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days" fld="0" baseField="0" baseItem="0"/>
    <dataField name="Sum of Absent" fld="2" baseField="0" baseItem="0"/>
    <dataField name="Sum of Present" fld="1" baseField="0" baseItem="0"/>
    <dataField name="Sum of Leave" fld="3" baseField="0" baseItem="0"/>
    <dataField name="Sum of Percentage" fld="4" baseField="0" baseItem="0"/>
  </dataFields>
  <chartFormats count="10"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Table5" displayName="Table5" ref="G5:H37" totalsRowShown="0">
  <autoFilter ref="G5:H37"/>
  <tableColumns count="2">
    <tableColumn id="1" name="Column1"/>
    <tableColumn id="2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I5:AM37" totalsRowShown="0">
  <autoFilter ref="I5:AM37"/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e135" displayName="Table135" ref="AN7:AS37" totalsRowShown="0">
  <autoFilter ref="AN7:AS37"/>
  <tableColumns count="6">
    <tableColumn id="1" name="Total days" dataCellStyle="Normal">
      <calculatedColumnFormula>COUNTIF(G8:AK8,"P")+COUNTIF(G8:AK8,"A")+COUNTIF(G8:AK8,"Leave")</calculatedColumnFormula>
    </tableColumn>
    <tableColumn id="2" name="Present" dataCellStyle="Normal">
      <calculatedColumnFormula>COUNTIF(G8:AK8,"P")</calculatedColumnFormula>
    </tableColumn>
    <tableColumn id="3" name="Absent" dataCellStyle="Normal">
      <calculatedColumnFormula>COUNTIF(G7:AK7,"A")</calculatedColumnFormula>
    </tableColumn>
    <tableColumn id="4" name="Leave" dataCellStyle="Normal">
      <calculatedColumnFormula>COUNTIF(G8:AK8,"L")</calculatedColumnFormula>
    </tableColumn>
    <tableColumn id="5" name="Percentage" dataCellStyle="Comma">
      <calculatedColumnFormula>AO8/AN8*100</calculatedColumnFormula>
    </tableColumn>
    <tableColumn id="6" name="Status" dataCellStyle="Normal">
      <calculatedColumnFormula>IF(AR8&gt;=90,"Excellent",IF(AR8&gt;=75,"Good","Low"))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7"/>
  <sheetViews>
    <sheetView tabSelected="1" topLeftCell="B4" zoomScale="70" zoomScaleNormal="70" workbookViewId="0">
      <selection activeCell="AT3" sqref="AT3"/>
    </sheetView>
  </sheetViews>
  <sheetFormatPr defaultRowHeight="14.4" x14ac:dyDescent="0.3"/>
  <cols>
    <col min="1" max="1" width="5.77734375" customWidth="1"/>
    <col min="4" max="4" width="16.6640625" customWidth="1"/>
    <col min="5" max="5" width="6.77734375" customWidth="1"/>
    <col min="6" max="6" width="5.21875" customWidth="1"/>
    <col min="7" max="7" width="10.109375" customWidth="1"/>
    <col min="8" max="8" width="18.109375" customWidth="1"/>
    <col min="9" max="10" width="5.21875" customWidth="1"/>
    <col min="11" max="14" width="5.44140625" customWidth="1"/>
    <col min="15" max="15" width="5.21875" customWidth="1"/>
    <col min="16" max="16" width="4.77734375" customWidth="1"/>
    <col min="17" max="19" width="4.88671875" customWidth="1"/>
    <col min="20" max="20" width="5.21875" customWidth="1"/>
    <col min="21" max="21" width="5" customWidth="1"/>
    <col min="22" max="22" width="5.44140625" customWidth="1"/>
    <col min="23" max="23" width="5.21875" customWidth="1"/>
    <col min="24" max="24" width="4.88671875" customWidth="1"/>
    <col min="25" max="25" width="4.5546875" customWidth="1"/>
    <col min="26" max="26" width="4.88671875" customWidth="1"/>
    <col min="27" max="27" width="5.109375" customWidth="1"/>
    <col min="28" max="28" width="4.77734375" customWidth="1"/>
    <col min="29" max="29" width="4.88671875" customWidth="1"/>
    <col min="30" max="30" width="5.44140625" customWidth="1"/>
    <col min="31" max="31" width="5.21875" customWidth="1"/>
    <col min="32" max="32" width="5.44140625" customWidth="1"/>
    <col min="33" max="33" width="4.88671875" customWidth="1"/>
    <col min="34" max="34" width="5.21875" customWidth="1"/>
    <col min="35" max="35" width="5.109375" customWidth="1"/>
    <col min="36" max="36" width="5.21875" customWidth="1"/>
    <col min="37" max="37" width="4.88671875" customWidth="1"/>
    <col min="38" max="38" width="4.77734375" customWidth="1"/>
    <col min="39" max="39" width="10.21875" customWidth="1"/>
    <col min="40" max="40" width="9.88671875" customWidth="1"/>
    <col min="41" max="41" width="9" customWidth="1"/>
    <col min="42" max="42" width="10.77734375" customWidth="1"/>
    <col min="43" max="43" width="9.33203125" customWidth="1"/>
    <col min="44" max="44" width="10" bestFit="1" customWidth="1"/>
    <col min="46" max="46" width="12.33203125" customWidth="1"/>
  </cols>
  <sheetData>
    <row r="1" spans="1:50" x14ac:dyDescent="0.3"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50" x14ac:dyDescent="0.3">
      <c r="P2" s="13"/>
      <c r="Q2" s="13"/>
      <c r="R2" s="17" t="s">
        <v>0</v>
      </c>
      <c r="S2" s="18"/>
      <c r="T2" s="18"/>
      <c r="U2" s="18"/>
      <c r="V2" s="18"/>
      <c r="W2" s="18"/>
      <c r="X2" s="18"/>
      <c r="Y2" s="13"/>
      <c r="Z2" s="13"/>
    </row>
    <row r="3" spans="1:50" x14ac:dyDescent="0.3">
      <c r="R3" s="18"/>
      <c r="S3" s="18"/>
      <c r="T3" s="18"/>
      <c r="U3" s="18"/>
      <c r="V3" s="18"/>
      <c r="W3" s="18"/>
      <c r="X3" s="18"/>
    </row>
    <row r="4" spans="1:50" x14ac:dyDescent="0.3">
      <c r="A4" s="1"/>
      <c r="B4" s="1"/>
      <c r="C4" s="1"/>
      <c r="D4" s="1"/>
      <c r="E4" s="1"/>
    </row>
    <row r="5" spans="1:50" x14ac:dyDescent="0.3">
      <c r="A5" s="1"/>
      <c r="B5" s="1"/>
      <c r="C5" s="1"/>
      <c r="D5" s="1"/>
      <c r="E5" s="1"/>
      <c r="G5" t="s">
        <v>42</v>
      </c>
      <c r="H5" t="s">
        <v>43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71</v>
      </c>
      <c r="AM5" t="s">
        <v>72</v>
      </c>
    </row>
    <row r="6" spans="1:50" ht="14.4" customHeight="1" x14ac:dyDescent="0.3">
      <c r="A6" s="1"/>
      <c r="B6" s="23" t="s">
        <v>0</v>
      </c>
      <c r="C6" s="24"/>
      <c r="D6" s="25"/>
      <c r="E6" s="1"/>
      <c r="G6" s="12" t="s">
        <v>74</v>
      </c>
      <c r="H6" s="12"/>
      <c r="I6" s="9" t="str">
        <f>TEXT(I7,"DDD")</f>
        <v>Wed</v>
      </c>
      <c r="J6" s="9" t="str">
        <f t="shared" ref="J6:AJ6" si="0">TEXT(J7,"DDD")</f>
        <v>Thu</v>
      </c>
      <c r="K6" s="9" t="str">
        <f t="shared" si="0"/>
        <v>Fri</v>
      </c>
      <c r="L6" s="9" t="str">
        <f t="shared" si="0"/>
        <v>Sat</v>
      </c>
      <c r="M6" s="9" t="str">
        <f t="shared" si="0"/>
        <v>Sun</v>
      </c>
      <c r="N6" s="9" t="str">
        <f t="shared" si="0"/>
        <v>Mon</v>
      </c>
      <c r="O6" s="9" t="str">
        <f t="shared" si="0"/>
        <v>Tue</v>
      </c>
      <c r="P6" s="9" t="str">
        <f t="shared" si="0"/>
        <v>Wed</v>
      </c>
      <c r="Q6" s="9" t="str">
        <f t="shared" si="0"/>
        <v>Thu</v>
      </c>
      <c r="R6" s="9" t="str">
        <f t="shared" si="0"/>
        <v>Fri</v>
      </c>
      <c r="S6" s="9" t="str">
        <f t="shared" si="0"/>
        <v>Sat</v>
      </c>
      <c r="T6" s="9" t="str">
        <f t="shared" si="0"/>
        <v>Sun</v>
      </c>
      <c r="U6" s="9" t="str">
        <f t="shared" si="0"/>
        <v>Mon</v>
      </c>
      <c r="V6" s="9" t="str">
        <f t="shared" si="0"/>
        <v>Tue</v>
      </c>
      <c r="W6" s="9" t="str">
        <f t="shared" si="0"/>
        <v>Wed</v>
      </c>
      <c r="X6" s="9" t="str">
        <f t="shared" si="0"/>
        <v>Thu</v>
      </c>
      <c r="Y6" s="9" t="str">
        <f t="shared" si="0"/>
        <v>Fri</v>
      </c>
      <c r="Z6" s="9" t="str">
        <f t="shared" si="0"/>
        <v>Sat</v>
      </c>
      <c r="AA6" s="9" t="str">
        <f t="shared" si="0"/>
        <v>Sun</v>
      </c>
      <c r="AB6" s="9" t="str">
        <f t="shared" si="0"/>
        <v>Mon</v>
      </c>
      <c r="AC6" s="9" t="str">
        <f t="shared" si="0"/>
        <v>Tue</v>
      </c>
      <c r="AD6" s="9" t="str">
        <f t="shared" si="0"/>
        <v>Wed</v>
      </c>
      <c r="AE6" s="9" t="str">
        <f t="shared" si="0"/>
        <v>Thu</v>
      </c>
      <c r="AF6" s="9" t="str">
        <f t="shared" si="0"/>
        <v>Fri</v>
      </c>
      <c r="AG6" s="9" t="str">
        <f t="shared" si="0"/>
        <v>Sat</v>
      </c>
      <c r="AH6" s="9" t="str">
        <f t="shared" si="0"/>
        <v>Sun</v>
      </c>
      <c r="AI6" s="9" t="str">
        <f t="shared" si="0"/>
        <v>Mon</v>
      </c>
      <c r="AJ6" s="9" t="str">
        <f t="shared" si="0"/>
        <v>Tue</v>
      </c>
      <c r="AK6" s="9" t="str">
        <f t="shared" ref="AK6" si="1">TEXT(AK7,"DDD")</f>
        <v>Wed</v>
      </c>
      <c r="AL6" s="9" t="str">
        <f t="shared" ref="AL6" si="2">TEXT(AL7,"DDD")</f>
        <v>Thu</v>
      </c>
      <c r="AM6" s="9" t="str">
        <f t="shared" ref="AM6" si="3">TEXT(AM7,"DDD")</f>
        <v>Fri</v>
      </c>
    </row>
    <row r="7" spans="1:50" x14ac:dyDescent="0.3">
      <c r="A7" s="1"/>
      <c r="B7" s="26"/>
      <c r="C7" s="27"/>
      <c r="D7" s="28"/>
      <c r="E7" s="1"/>
      <c r="F7" s="2"/>
      <c r="G7" s="10" t="s">
        <v>6</v>
      </c>
      <c r="H7" s="10" t="s">
        <v>7</v>
      </c>
      <c r="I7" s="11">
        <f>D11</f>
        <v>45658</v>
      </c>
      <c r="J7" s="11">
        <f>IF(I7&lt;$D$12,I7+1,"")</f>
        <v>45659</v>
      </c>
      <c r="K7" s="11">
        <f t="shared" ref="K7:AM7" si="4">IF(J7&lt;$D$12,J7+1,"")</f>
        <v>45660</v>
      </c>
      <c r="L7" s="11">
        <f t="shared" si="4"/>
        <v>45661</v>
      </c>
      <c r="M7" s="11">
        <f t="shared" si="4"/>
        <v>45662</v>
      </c>
      <c r="N7" s="11">
        <f t="shared" si="4"/>
        <v>45663</v>
      </c>
      <c r="O7" s="11">
        <f t="shared" si="4"/>
        <v>45664</v>
      </c>
      <c r="P7" s="11">
        <f t="shared" si="4"/>
        <v>45665</v>
      </c>
      <c r="Q7" s="11">
        <f t="shared" si="4"/>
        <v>45666</v>
      </c>
      <c r="R7" s="11">
        <f t="shared" si="4"/>
        <v>45667</v>
      </c>
      <c r="S7" s="11">
        <f t="shared" si="4"/>
        <v>45668</v>
      </c>
      <c r="T7" s="11">
        <f t="shared" si="4"/>
        <v>45669</v>
      </c>
      <c r="U7" s="11">
        <f t="shared" si="4"/>
        <v>45670</v>
      </c>
      <c r="V7" s="11">
        <f t="shared" si="4"/>
        <v>45671</v>
      </c>
      <c r="W7" s="11">
        <f t="shared" si="4"/>
        <v>45672</v>
      </c>
      <c r="X7" s="11">
        <f t="shared" si="4"/>
        <v>45673</v>
      </c>
      <c r="Y7" s="11">
        <f t="shared" si="4"/>
        <v>45674</v>
      </c>
      <c r="Z7" s="11">
        <f t="shared" si="4"/>
        <v>45675</v>
      </c>
      <c r="AA7" s="11">
        <f t="shared" si="4"/>
        <v>45676</v>
      </c>
      <c r="AB7" s="11">
        <f t="shared" si="4"/>
        <v>45677</v>
      </c>
      <c r="AC7" s="11">
        <f t="shared" si="4"/>
        <v>45678</v>
      </c>
      <c r="AD7" s="11">
        <f t="shared" si="4"/>
        <v>45679</v>
      </c>
      <c r="AE7" s="11">
        <f t="shared" si="4"/>
        <v>45680</v>
      </c>
      <c r="AF7" s="11">
        <f t="shared" si="4"/>
        <v>45681</v>
      </c>
      <c r="AG7" s="11">
        <f t="shared" si="4"/>
        <v>45682</v>
      </c>
      <c r="AH7" s="11">
        <f t="shared" si="4"/>
        <v>45683</v>
      </c>
      <c r="AI7" s="11">
        <f t="shared" si="4"/>
        <v>45684</v>
      </c>
      <c r="AJ7" s="11">
        <f>IF(AI7&lt;$D$12,AI7+1,"")</f>
        <v>45685</v>
      </c>
      <c r="AK7" s="11">
        <f>IF(AJ7&lt;$D$12,AJ7+1,"")</f>
        <v>45686</v>
      </c>
      <c r="AL7" s="11">
        <f t="shared" si="4"/>
        <v>45687</v>
      </c>
      <c r="AM7" s="11">
        <f t="shared" si="4"/>
        <v>45688</v>
      </c>
      <c r="AN7" t="s">
        <v>78</v>
      </c>
      <c r="AO7" t="s">
        <v>8</v>
      </c>
      <c r="AP7" t="s">
        <v>9</v>
      </c>
      <c r="AQ7" t="s">
        <v>10</v>
      </c>
      <c r="AR7" t="s">
        <v>75</v>
      </c>
      <c r="AS7" t="s">
        <v>76</v>
      </c>
    </row>
    <row r="8" spans="1:50" x14ac:dyDescent="0.3">
      <c r="A8" s="1"/>
      <c r="B8" s="1"/>
      <c r="C8" s="1"/>
      <c r="D8" s="1"/>
      <c r="E8" s="1"/>
      <c r="G8" s="2">
        <v>101</v>
      </c>
      <c r="H8" t="s">
        <v>12</v>
      </c>
      <c r="I8" t="s">
        <v>11</v>
      </c>
      <c r="J8" t="s">
        <v>11</v>
      </c>
      <c r="K8" t="s">
        <v>11</v>
      </c>
      <c r="L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U8" t="s">
        <v>11</v>
      </c>
      <c r="V8" t="s">
        <v>11</v>
      </c>
      <c r="W8" t="s">
        <v>11</v>
      </c>
      <c r="X8" t="s">
        <v>11</v>
      </c>
      <c r="Y8" t="s">
        <v>11</v>
      </c>
      <c r="Z8" t="s">
        <v>11</v>
      </c>
      <c r="AB8" t="s">
        <v>11</v>
      </c>
      <c r="AC8" t="s">
        <v>11</v>
      </c>
      <c r="AD8" t="s">
        <v>11</v>
      </c>
      <c r="AE8" t="s">
        <v>11</v>
      </c>
      <c r="AF8" t="s">
        <v>11</v>
      </c>
      <c r="AG8" t="s">
        <v>11</v>
      </c>
      <c r="AI8" t="s">
        <v>73</v>
      </c>
      <c r="AJ8" t="s">
        <v>73</v>
      </c>
      <c r="AK8" t="s">
        <v>73</v>
      </c>
      <c r="AL8" t="s">
        <v>11</v>
      </c>
      <c r="AM8" t="s">
        <v>11</v>
      </c>
      <c r="AN8">
        <f>COUNTIF(G8:AK8,"P")+COUNTIF(G8:AK8,"A")+COUNTIF(G8:AK8,"Leave")</f>
        <v>25</v>
      </c>
      <c r="AO8">
        <f>COUNTIF(G8:AK8,"P")</f>
        <v>22</v>
      </c>
      <c r="AP8">
        <f>COUNTIF(G7:AK7,"A")</f>
        <v>0</v>
      </c>
      <c r="AQ8">
        <f>COUNTIF(G8:AK8,"L")</f>
        <v>0</v>
      </c>
      <c r="AR8" s="29">
        <f>AO8/AN8*100</f>
        <v>88</v>
      </c>
      <c r="AS8" t="str">
        <f>IF(AR8&gt;=90,"Excellent",IF(AR8&gt;=75,"Good","Low"))</f>
        <v>Good</v>
      </c>
    </row>
    <row r="9" spans="1:50" x14ac:dyDescent="0.3">
      <c r="A9" s="1"/>
      <c r="B9" s="19" t="s">
        <v>1</v>
      </c>
      <c r="C9" s="20"/>
      <c r="D9" s="5" t="s">
        <v>4</v>
      </c>
      <c r="E9" s="1"/>
      <c r="G9" s="2">
        <v>102</v>
      </c>
      <c r="H9" t="s">
        <v>13</v>
      </c>
      <c r="I9" t="s">
        <v>11</v>
      </c>
      <c r="J9" t="s">
        <v>11</v>
      </c>
      <c r="K9" t="s">
        <v>11</v>
      </c>
      <c r="L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U9" t="s">
        <v>11</v>
      </c>
      <c r="V9" t="s">
        <v>11</v>
      </c>
      <c r="W9" t="s">
        <v>11</v>
      </c>
      <c r="X9" t="s">
        <v>11</v>
      </c>
      <c r="Y9" t="s">
        <v>11</v>
      </c>
      <c r="Z9" t="s">
        <v>11</v>
      </c>
      <c r="AB9" t="s">
        <v>11</v>
      </c>
      <c r="AC9" t="s">
        <v>11</v>
      </c>
      <c r="AD9" t="s">
        <v>11</v>
      </c>
      <c r="AE9" t="s">
        <v>11</v>
      </c>
      <c r="AF9" t="s">
        <v>11</v>
      </c>
      <c r="AG9" t="s">
        <v>11</v>
      </c>
      <c r="AI9" t="s">
        <v>11</v>
      </c>
      <c r="AJ9" t="s">
        <v>11</v>
      </c>
      <c r="AK9" t="s">
        <v>73</v>
      </c>
      <c r="AL9" t="s">
        <v>11</v>
      </c>
      <c r="AM9" t="s">
        <v>11</v>
      </c>
      <c r="AN9">
        <f t="shared" ref="AN9:AN37" si="5">COUNTIF(G9:AK9,"P")+COUNTIF(G9:AK9,"A")+COUNTIF(G9:AK9,"Leave")</f>
        <v>25</v>
      </c>
      <c r="AO9">
        <f t="shared" ref="AO9:AO37" si="6">COUNTIF(G9:AK9,"P")</f>
        <v>24</v>
      </c>
      <c r="AP9">
        <f t="shared" ref="AP9:AP37" si="7">COUNTIF(G8:AK8,"A")</f>
        <v>3</v>
      </c>
      <c r="AQ9">
        <f t="shared" ref="AQ9:AQ37" si="8">COUNTIF(G9:AK9,"L")</f>
        <v>0</v>
      </c>
      <c r="AR9" s="29">
        <f t="shared" ref="AR9:AR37" si="9">AO9/AN9*100</f>
        <v>96</v>
      </c>
      <c r="AS9" t="str">
        <f t="shared" ref="AS9:AS37" si="10">IF(AR9&gt;=90,"Excellent",IF(AR9&gt;=75,"Good","Low"))</f>
        <v>Excellent</v>
      </c>
    </row>
    <row r="10" spans="1:50" x14ac:dyDescent="0.3">
      <c r="A10" s="1"/>
      <c r="B10" s="1"/>
      <c r="C10" s="1"/>
      <c r="D10" s="6"/>
      <c r="E10" s="1"/>
      <c r="G10" s="2">
        <v>103</v>
      </c>
      <c r="H10" t="s">
        <v>14</v>
      </c>
      <c r="I10" t="s">
        <v>11</v>
      </c>
      <c r="J10" t="s">
        <v>11</v>
      </c>
      <c r="K10" t="s">
        <v>11</v>
      </c>
      <c r="L10" t="s">
        <v>11</v>
      </c>
      <c r="N10" t="s">
        <v>73</v>
      </c>
      <c r="O10" t="s">
        <v>73</v>
      </c>
      <c r="P10" t="s">
        <v>11</v>
      </c>
      <c r="Q10" t="s">
        <v>11</v>
      </c>
      <c r="R10" t="s">
        <v>11</v>
      </c>
      <c r="S10" t="s">
        <v>11</v>
      </c>
      <c r="U10" t="s">
        <v>11</v>
      </c>
      <c r="V10" t="s">
        <v>11</v>
      </c>
      <c r="W10" t="s">
        <v>11</v>
      </c>
      <c r="X10" t="s">
        <v>73</v>
      </c>
      <c r="Y10" t="s">
        <v>73</v>
      </c>
      <c r="Z10" t="s">
        <v>11</v>
      </c>
      <c r="AB10" t="s">
        <v>11</v>
      </c>
      <c r="AC10" t="s">
        <v>11</v>
      </c>
      <c r="AD10" t="s">
        <v>11</v>
      </c>
      <c r="AE10" t="s">
        <v>11</v>
      </c>
      <c r="AF10" t="s">
        <v>11</v>
      </c>
      <c r="AG10" t="s">
        <v>11</v>
      </c>
      <c r="AI10" t="s">
        <v>11</v>
      </c>
      <c r="AJ10" t="s">
        <v>11</v>
      </c>
      <c r="AK10" t="s">
        <v>73</v>
      </c>
      <c r="AL10" t="s">
        <v>11</v>
      </c>
      <c r="AM10" t="s">
        <v>11</v>
      </c>
      <c r="AN10">
        <f t="shared" si="5"/>
        <v>25</v>
      </c>
      <c r="AO10">
        <f t="shared" si="6"/>
        <v>20</v>
      </c>
      <c r="AP10">
        <f t="shared" si="7"/>
        <v>1</v>
      </c>
      <c r="AQ10">
        <f t="shared" si="8"/>
        <v>0</v>
      </c>
      <c r="AR10" s="29">
        <f>AO10/AN10*100</f>
        <v>80</v>
      </c>
      <c r="AS10" t="str">
        <f>IF(AR10&gt;=90,"Excellent",IF(AR10&gt;=75,"Good","Low"))</f>
        <v>Good</v>
      </c>
    </row>
    <row r="11" spans="1:50" x14ac:dyDescent="0.3">
      <c r="A11" s="1"/>
      <c r="B11" s="19" t="s">
        <v>2</v>
      </c>
      <c r="C11" s="20"/>
      <c r="D11" s="7">
        <f>DATEVALUE("1"&amp;D9&amp;D15)</f>
        <v>45658</v>
      </c>
      <c r="E11" s="1"/>
      <c r="G11" s="2">
        <v>104</v>
      </c>
      <c r="H11" t="s">
        <v>15</v>
      </c>
      <c r="I11" t="s">
        <v>11</v>
      </c>
      <c r="J11" t="s">
        <v>11</v>
      </c>
      <c r="K11" t="s">
        <v>73</v>
      </c>
      <c r="L11" t="s">
        <v>77</v>
      </c>
      <c r="N11" t="s">
        <v>77</v>
      </c>
      <c r="O11" t="s">
        <v>77</v>
      </c>
      <c r="P11" t="s">
        <v>11</v>
      </c>
      <c r="Q11" t="s">
        <v>11</v>
      </c>
      <c r="R11" t="s">
        <v>11</v>
      </c>
      <c r="S11" t="s">
        <v>11</v>
      </c>
      <c r="U11" t="s">
        <v>11</v>
      </c>
      <c r="V11" t="s">
        <v>11</v>
      </c>
      <c r="W11" t="s">
        <v>11</v>
      </c>
      <c r="X11" t="s">
        <v>11</v>
      </c>
      <c r="Y11" t="s">
        <v>11</v>
      </c>
      <c r="Z11" t="s">
        <v>73</v>
      </c>
      <c r="AB11" t="s">
        <v>11</v>
      </c>
      <c r="AC11" t="s">
        <v>11</v>
      </c>
      <c r="AD11" t="s">
        <v>11</v>
      </c>
      <c r="AE11" t="s">
        <v>73</v>
      </c>
      <c r="AF11" t="s">
        <v>73</v>
      </c>
      <c r="AG11" t="s">
        <v>73</v>
      </c>
      <c r="AI11" t="s">
        <v>11</v>
      </c>
      <c r="AJ11" t="s">
        <v>11</v>
      </c>
      <c r="AK11" t="s">
        <v>11</v>
      </c>
      <c r="AL11" t="s">
        <v>77</v>
      </c>
      <c r="AM11" t="s">
        <v>77</v>
      </c>
      <c r="AN11">
        <f t="shared" si="5"/>
        <v>22</v>
      </c>
      <c r="AO11">
        <f t="shared" si="6"/>
        <v>17</v>
      </c>
      <c r="AP11">
        <f t="shared" si="7"/>
        <v>5</v>
      </c>
      <c r="AQ11">
        <f t="shared" si="8"/>
        <v>3</v>
      </c>
      <c r="AR11" s="29">
        <f>AO11/AN11*100</f>
        <v>77.272727272727266</v>
      </c>
      <c r="AS11" t="str">
        <f>IF(AR11&gt;=90,"Excellent",IF(AR11&gt;=75,"Good","Low"))</f>
        <v>Good</v>
      </c>
    </row>
    <row r="12" spans="1:50" x14ac:dyDescent="0.3">
      <c r="A12" s="1"/>
      <c r="B12" s="19" t="s">
        <v>3</v>
      </c>
      <c r="C12" s="20"/>
      <c r="D12" s="7">
        <f>EOMONTH(D11,0)</f>
        <v>45688</v>
      </c>
      <c r="E12" s="1"/>
      <c r="G12" s="2">
        <v>105</v>
      </c>
      <c r="H12" t="s">
        <v>16</v>
      </c>
      <c r="I12" t="s">
        <v>11</v>
      </c>
      <c r="J12" t="s">
        <v>11</v>
      </c>
      <c r="K12" t="s">
        <v>73</v>
      </c>
      <c r="L12" t="s">
        <v>73</v>
      </c>
      <c r="N12" t="s">
        <v>73</v>
      </c>
      <c r="O12" t="s">
        <v>73</v>
      </c>
      <c r="P12" t="s">
        <v>11</v>
      </c>
      <c r="Q12" t="s">
        <v>11</v>
      </c>
      <c r="R12" t="s">
        <v>11</v>
      </c>
      <c r="S12" t="s">
        <v>73</v>
      </c>
      <c r="U12" t="s">
        <v>73</v>
      </c>
      <c r="V12" t="s">
        <v>11</v>
      </c>
      <c r="W12" t="s">
        <v>11</v>
      </c>
      <c r="X12" t="s">
        <v>73</v>
      </c>
      <c r="Y12" t="s">
        <v>11</v>
      </c>
      <c r="Z12" t="s">
        <v>73</v>
      </c>
      <c r="AB12" t="s">
        <v>11</v>
      </c>
      <c r="AC12" t="s">
        <v>11</v>
      </c>
      <c r="AD12" t="s">
        <v>11</v>
      </c>
      <c r="AE12" t="s">
        <v>11</v>
      </c>
      <c r="AF12" t="s">
        <v>11</v>
      </c>
      <c r="AG12" t="s">
        <v>11</v>
      </c>
      <c r="AI12" t="s">
        <v>11</v>
      </c>
      <c r="AJ12" t="s">
        <v>11</v>
      </c>
      <c r="AK12" t="s">
        <v>11</v>
      </c>
      <c r="AL12" t="s">
        <v>77</v>
      </c>
      <c r="AM12" t="s">
        <v>77</v>
      </c>
      <c r="AN12">
        <f t="shared" si="5"/>
        <v>25</v>
      </c>
      <c r="AO12">
        <f t="shared" si="6"/>
        <v>17</v>
      </c>
      <c r="AP12">
        <f t="shared" si="7"/>
        <v>5</v>
      </c>
      <c r="AQ12">
        <f t="shared" si="8"/>
        <v>0</v>
      </c>
      <c r="AR12" s="29">
        <f>AO12/AN12*100</f>
        <v>68</v>
      </c>
      <c r="AS12" t="str">
        <f>IF(AR12&gt;=90,"Excellent",IF(AR12&gt;=75,"Good","Low"))</f>
        <v>Low</v>
      </c>
    </row>
    <row r="13" spans="1:50" x14ac:dyDescent="0.3">
      <c r="A13" s="1"/>
      <c r="B13" s="1"/>
      <c r="C13" s="1"/>
      <c r="D13" s="4"/>
      <c r="E13" s="1"/>
      <c r="G13" s="2">
        <v>106</v>
      </c>
      <c r="H13" t="s">
        <v>17</v>
      </c>
      <c r="I13" t="s">
        <v>11</v>
      </c>
      <c r="J13" t="s">
        <v>11</v>
      </c>
      <c r="K13" t="s">
        <v>73</v>
      </c>
      <c r="L13" t="s">
        <v>73</v>
      </c>
      <c r="N13" t="s">
        <v>73</v>
      </c>
      <c r="O13" t="s">
        <v>73</v>
      </c>
      <c r="P13" t="s">
        <v>11</v>
      </c>
      <c r="Q13" t="s">
        <v>11</v>
      </c>
      <c r="R13" t="s">
        <v>11</v>
      </c>
      <c r="S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B13" t="s">
        <v>11</v>
      </c>
      <c r="AC13" t="s">
        <v>11</v>
      </c>
      <c r="AD13" t="s">
        <v>11</v>
      </c>
      <c r="AE13" t="s">
        <v>11</v>
      </c>
      <c r="AF13" t="s">
        <v>73</v>
      </c>
      <c r="AG13" t="s">
        <v>73</v>
      </c>
      <c r="AI13" t="s">
        <v>11</v>
      </c>
      <c r="AJ13" t="s">
        <v>11</v>
      </c>
      <c r="AK13" t="s">
        <v>11</v>
      </c>
      <c r="AL13" t="s">
        <v>77</v>
      </c>
      <c r="AM13" t="s">
        <v>77</v>
      </c>
      <c r="AN13">
        <f t="shared" si="5"/>
        <v>25</v>
      </c>
      <c r="AO13">
        <f t="shared" si="6"/>
        <v>19</v>
      </c>
      <c r="AP13">
        <f t="shared" si="7"/>
        <v>8</v>
      </c>
      <c r="AQ13">
        <f t="shared" si="8"/>
        <v>0</v>
      </c>
      <c r="AR13" s="29">
        <f t="shared" si="9"/>
        <v>76</v>
      </c>
      <c r="AS13" t="str">
        <f t="shared" si="10"/>
        <v>Good</v>
      </c>
    </row>
    <row r="14" spans="1:50" x14ac:dyDescent="0.3">
      <c r="A14" s="1"/>
      <c r="B14" s="1"/>
      <c r="C14" s="1"/>
      <c r="D14" s="4"/>
      <c r="E14" s="1"/>
      <c r="G14" s="2">
        <v>107</v>
      </c>
      <c r="H14" t="s">
        <v>18</v>
      </c>
      <c r="I14" t="s">
        <v>11</v>
      </c>
      <c r="J14" t="s">
        <v>11</v>
      </c>
      <c r="K14" t="s">
        <v>73</v>
      </c>
      <c r="L14" t="s">
        <v>73</v>
      </c>
      <c r="N14" t="s">
        <v>73</v>
      </c>
      <c r="O14" t="s">
        <v>73</v>
      </c>
      <c r="P14" t="s">
        <v>11</v>
      </c>
      <c r="Q14" t="s">
        <v>73</v>
      </c>
      <c r="R14" t="s">
        <v>73</v>
      </c>
      <c r="S14" t="s">
        <v>73</v>
      </c>
      <c r="U14" t="s">
        <v>73</v>
      </c>
      <c r="V14" t="s">
        <v>73</v>
      </c>
      <c r="W14" t="s">
        <v>11</v>
      </c>
      <c r="X14" t="s">
        <v>73</v>
      </c>
      <c r="Y14" t="s">
        <v>73</v>
      </c>
      <c r="Z14" t="s">
        <v>73</v>
      </c>
      <c r="AB14" t="s">
        <v>73</v>
      </c>
      <c r="AC14" t="s">
        <v>73</v>
      </c>
      <c r="AD14" t="s">
        <v>11</v>
      </c>
      <c r="AE14" t="s">
        <v>73</v>
      </c>
      <c r="AF14" t="s">
        <v>73</v>
      </c>
      <c r="AG14" t="s">
        <v>11</v>
      </c>
      <c r="AI14" t="s">
        <v>11</v>
      </c>
      <c r="AJ14" t="s">
        <v>11</v>
      </c>
      <c r="AK14" t="s">
        <v>11</v>
      </c>
      <c r="AL14" t="s">
        <v>11</v>
      </c>
      <c r="AM14" t="s">
        <v>11</v>
      </c>
      <c r="AN14">
        <f t="shared" si="5"/>
        <v>25</v>
      </c>
      <c r="AO14">
        <f t="shared" si="6"/>
        <v>9</v>
      </c>
      <c r="AP14">
        <f t="shared" si="7"/>
        <v>6</v>
      </c>
      <c r="AQ14">
        <f t="shared" si="8"/>
        <v>0</v>
      </c>
      <c r="AR14" s="29">
        <f t="shared" si="9"/>
        <v>36</v>
      </c>
      <c r="AS14" t="str">
        <f t="shared" si="10"/>
        <v>Low</v>
      </c>
      <c r="AX14" s="8"/>
    </row>
    <row r="15" spans="1:50" x14ac:dyDescent="0.3">
      <c r="A15" s="1"/>
      <c r="B15" s="21" t="s">
        <v>5</v>
      </c>
      <c r="C15" s="22"/>
      <c r="D15" s="3">
        <v>2025</v>
      </c>
      <c r="E15" s="1"/>
      <c r="G15" s="2">
        <v>108</v>
      </c>
      <c r="H15" t="s">
        <v>19</v>
      </c>
      <c r="I15" t="s">
        <v>11</v>
      </c>
      <c r="J15" t="s">
        <v>11</v>
      </c>
      <c r="K15" t="s">
        <v>11</v>
      </c>
      <c r="L15" t="s">
        <v>73</v>
      </c>
      <c r="N15" t="s">
        <v>73</v>
      </c>
      <c r="O15" t="s">
        <v>73</v>
      </c>
      <c r="P15" t="s">
        <v>11</v>
      </c>
      <c r="Q15" t="s">
        <v>11</v>
      </c>
      <c r="R15" t="s">
        <v>11</v>
      </c>
      <c r="S15" t="s">
        <v>11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11</v>
      </c>
      <c r="AB15" t="s">
        <v>11</v>
      </c>
      <c r="AC15" t="s">
        <v>11</v>
      </c>
      <c r="AD15" t="s">
        <v>11</v>
      </c>
      <c r="AE15" t="s">
        <v>11</v>
      </c>
      <c r="AF15" t="s">
        <v>11</v>
      </c>
      <c r="AG15" t="s">
        <v>11</v>
      </c>
      <c r="AI15" t="s">
        <v>11</v>
      </c>
      <c r="AJ15" t="s">
        <v>11</v>
      </c>
      <c r="AK15" t="s">
        <v>11</v>
      </c>
      <c r="AL15" t="s">
        <v>11</v>
      </c>
      <c r="AM15" t="s">
        <v>11</v>
      </c>
      <c r="AN15">
        <f t="shared" si="5"/>
        <v>25</v>
      </c>
      <c r="AO15">
        <f t="shared" si="6"/>
        <v>22</v>
      </c>
      <c r="AP15">
        <f t="shared" si="7"/>
        <v>16</v>
      </c>
      <c r="AQ15">
        <f t="shared" si="8"/>
        <v>0</v>
      </c>
      <c r="AR15" s="29">
        <f t="shared" si="9"/>
        <v>88</v>
      </c>
      <c r="AS15" t="str">
        <f t="shared" si="10"/>
        <v>Good</v>
      </c>
    </row>
    <row r="16" spans="1:50" x14ac:dyDescent="0.3">
      <c r="A16" s="1"/>
      <c r="B16" s="1"/>
      <c r="C16" s="1"/>
      <c r="D16" s="1"/>
      <c r="E16" s="1"/>
      <c r="G16" s="2">
        <v>109</v>
      </c>
      <c r="H16" t="s">
        <v>20</v>
      </c>
      <c r="I16" t="s">
        <v>11</v>
      </c>
      <c r="J16" t="s">
        <v>11</v>
      </c>
      <c r="K16" t="s">
        <v>11</v>
      </c>
      <c r="L16" t="s">
        <v>11</v>
      </c>
      <c r="N16" t="s">
        <v>73</v>
      </c>
      <c r="O16" t="s">
        <v>11</v>
      </c>
      <c r="P16" t="s">
        <v>11</v>
      </c>
      <c r="Q16" t="s">
        <v>73</v>
      </c>
      <c r="R16" t="s">
        <v>11</v>
      </c>
      <c r="S16" t="s">
        <v>73</v>
      </c>
      <c r="U16" t="s">
        <v>11</v>
      </c>
      <c r="V16" t="s">
        <v>73</v>
      </c>
      <c r="W16" t="s">
        <v>11</v>
      </c>
      <c r="X16" t="s">
        <v>11</v>
      </c>
      <c r="Y16" t="s">
        <v>73</v>
      </c>
      <c r="Z16" t="s">
        <v>11</v>
      </c>
      <c r="AB16" t="s">
        <v>11</v>
      </c>
      <c r="AC16" t="s">
        <v>73</v>
      </c>
      <c r="AD16" t="s">
        <v>11</v>
      </c>
      <c r="AE16" t="s">
        <v>11</v>
      </c>
      <c r="AF16" t="s">
        <v>73</v>
      </c>
      <c r="AG16" t="s">
        <v>11</v>
      </c>
      <c r="AI16" t="s">
        <v>11</v>
      </c>
      <c r="AJ16" t="s">
        <v>11</v>
      </c>
      <c r="AK16" t="s">
        <v>11</v>
      </c>
      <c r="AL16" t="s">
        <v>11</v>
      </c>
      <c r="AM16" t="s">
        <v>11</v>
      </c>
      <c r="AN16">
        <f t="shared" si="5"/>
        <v>25</v>
      </c>
      <c r="AO16">
        <f t="shared" si="6"/>
        <v>18</v>
      </c>
      <c r="AP16">
        <f t="shared" si="7"/>
        <v>3</v>
      </c>
      <c r="AQ16">
        <f t="shared" si="8"/>
        <v>0</v>
      </c>
      <c r="AR16" s="29">
        <f t="shared" si="9"/>
        <v>72</v>
      </c>
      <c r="AS16" t="str">
        <f t="shared" si="10"/>
        <v>Low</v>
      </c>
    </row>
    <row r="17" spans="1:45" x14ac:dyDescent="0.3">
      <c r="A17" s="1"/>
      <c r="B17" s="1"/>
      <c r="C17" s="1"/>
      <c r="D17" s="1"/>
      <c r="E17" s="1"/>
      <c r="G17" s="2">
        <v>110</v>
      </c>
      <c r="H17" t="s">
        <v>21</v>
      </c>
      <c r="I17" t="s">
        <v>11</v>
      </c>
      <c r="J17" t="s">
        <v>11</v>
      </c>
      <c r="K17" t="s">
        <v>11</v>
      </c>
      <c r="L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  <c r="Z17" t="s">
        <v>11</v>
      </c>
      <c r="AB17" t="s">
        <v>11</v>
      </c>
      <c r="AC17" t="s">
        <v>11</v>
      </c>
      <c r="AD17" t="s">
        <v>11</v>
      </c>
      <c r="AE17" t="s">
        <v>11</v>
      </c>
      <c r="AF17" t="s">
        <v>11</v>
      </c>
      <c r="AG17" t="s">
        <v>11</v>
      </c>
      <c r="AI17" t="s">
        <v>11</v>
      </c>
      <c r="AJ17" t="s">
        <v>11</v>
      </c>
      <c r="AK17" t="s">
        <v>11</v>
      </c>
      <c r="AL17" t="s">
        <v>11</v>
      </c>
      <c r="AM17" t="s">
        <v>11</v>
      </c>
      <c r="AN17">
        <f t="shared" si="5"/>
        <v>25</v>
      </c>
      <c r="AO17">
        <f t="shared" si="6"/>
        <v>25</v>
      </c>
      <c r="AP17">
        <f t="shared" si="7"/>
        <v>7</v>
      </c>
      <c r="AQ17">
        <f t="shared" si="8"/>
        <v>0</v>
      </c>
      <c r="AR17" s="29">
        <f t="shared" si="9"/>
        <v>100</v>
      </c>
      <c r="AS17" t="str">
        <f t="shared" si="10"/>
        <v>Excellent</v>
      </c>
    </row>
    <row r="18" spans="1:45" x14ac:dyDescent="0.3">
      <c r="A18" s="1"/>
      <c r="B18" s="1"/>
      <c r="C18" s="1"/>
      <c r="D18" s="1"/>
      <c r="E18" s="1"/>
      <c r="G18" s="2">
        <v>111</v>
      </c>
      <c r="H18" t="s">
        <v>22</v>
      </c>
      <c r="I18" t="s">
        <v>11</v>
      </c>
      <c r="J18" t="s">
        <v>11</v>
      </c>
      <c r="K18" t="s">
        <v>11</v>
      </c>
      <c r="L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B18" t="s">
        <v>11</v>
      </c>
      <c r="AC18" t="s">
        <v>73</v>
      </c>
      <c r="AD18" t="s">
        <v>11</v>
      </c>
      <c r="AE18" t="s">
        <v>11</v>
      </c>
      <c r="AF18" t="s">
        <v>11</v>
      </c>
      <c r="AG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>
        <f t="shared" si="5"/>
        <v>25</v>
      </c>
      <c r="AO18">
        <f t="shared" si="6"/>
        <v>24</v>
      </c>
      <c r="AP18">
        <f t="shared" si="7"/>
        <v>0</v>
      </c>
      <c r="AQ18">
        <f t="shared" si="8"/>
        <v>0</v>
      </c>
      <c r="AR18" s="29">
        <f t="shared" si="9"/>
        <v>96</v>
      </c>
      <c r="AS18" t="str">
        <f t="shared" si="10"/>
        <v>Excellent</v>
      </c>
    </row>
    <row r="19" spans="1:45" x14ac:dyDescent="0.3">
      <c r="A19" s="1"/>
      <c r="B19" s="1"/>
      <c r="C19" s="1"/>
      <c r="D19" s="1"/>
      <c r="E19" s="1"/>
      <c r="G19" s="2">
        <v>112</v>
      </c>
      <c r="H19" t="s">
        <v>23</v>
      </c>
      <c r="I19" t="s">
        <v>11</v>
      </c>
      <c r="J19" t="s">
        <v>11</v>
      </c>
      <c r="K19" t="s">
        <v>11</v>
      </c>
      <c r="L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U19" t="s">
        <v>11</v>
      </c>
      <c r="V19" t="s">
        <v>11</v>
      </c>
      <c r="W19" t="s">
        <v>11</v>
      </c>
      <c r="X19" t="s">
        <v>77</v>
      </c>
      <c r="Y19" t="s">
        <v>77</v>
      </c>
      <c r="Z19" t="s">
        <v>11</v>
      </c>
      <c r="AB19" t="s">
        <v>73</v>
      </c>
      <c r="AC19" t="s">
        <v>73</v>
      </c>
      <c r="AD19" t="s">
        <v>11</v>
      </c>
      <c r="AE19" t="s">
        <v>11</v>
      </c>
      <c r="AF19" t="s">
        <v>11</v>
      </c>
      <c r="AG19" t="s">
        <v>11</v>
      </c>
      <c r="AI19" t="s">
        <v>11</v>
      </c>
      <c r="AJ19" t="s">
        <v>11</v>
      </c>
      <c r="AK19" t="s">
        <v>73</v>
      </c>
      <c r="AL19" t="s">
        <v>73</v>
      </c>
      <c r="AM19" t="s">
        <v>73</v>
      </c>
      <c r="AN19">
        <f t="shared" si="5"/>
        <v>23</v>
      </c>
      <c r="AO19">
        <f t="shared" si="6"/>
        <v>20</v>
      </c>
      <c r="AP19">
        <f t="shared" si="7"/>
        <v>1</v>
      </c>
      <c r="AQ19">
        <f t="shared" si="8"/>
        <v>2</v>
      </c>
      <c r="AR19" s="29">
        <f t="shared" si="9"/>
        <v>86.956521739130437</v>
      </c>
      <c r="AS19" t="str">
        <f t="shared" si="10"/>
        <v>Good</v>
      </c>
    </row>
    <row r="20" spans="1:45" x14ac:dyDescent="0.3">
      <c r="A20" s="1"/>
      <c r="B20" s="1"/>
      <c r="C20" s="1"/>
      <c r="D20" s="1"/>
      <c r="E20" s="1"/>
      <c r="G20" s="2">
        <v>113</v>
      </c>
      <c r="H20" t="s">
        <v>24</v>
      </c>
      <c r="I20" t="s">
        <v>11</v>
      </c>
      <c r="J20" t="s">
        <v>11</v>
      </c>
      <c r="K20" t="s">
        <v>11</v>
      </c>
      <c r="L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U20" t="s">
        <v>11</v>
      </c>
      <c r="V20" t="s">
        <v>11</v>
      </c>
      <c r="W20" t="s">
        <v>11</v>
      </c>
      <c r="X20" t="s">
        <v>77</v>
      </c>
      <c r="Y20" t="s">
        <v>77</v>
      </c>
      <c r="Z20" t="s">
        <v>11</v>
      </c>
      <c r="AB20" t="s">
        <v>73</v>
      </c>
      <c r="AC20" t="s">
        <v>73</v>
      </c>
      <c r="AD20" t="s">
        <v>11</v>
      </c>
      <c r="AE20" t="s">
        <v>11</v>
      </c>
      <c r="AF20" t="s">
        <v>11</v>
      </c>
      <c r="AG20" t="s">
        <v>11</v>
      </c>
      <c r="AI20" t="s">
        <v>11</v>
      </c>
      <c r="AJ20" t="s">
        <v>11</v>
      </c>
      <c r="AK20" t="s">
        <v>11</v>
      </c>
      <c r="AL20" t="s">
        <v>11</v>
      </c>
      <c r="AM20" t="s">
        <v>11</v>
      </c>
      <c r="AN20">
        <f t="shared" si="5"/>
        <v>23</v>
      </c>
      <c r="AO20">
        <f t="shared" si="6"/>
        <v>21</v>
      </c>
      <c r="AP20">
        <f t="shared" si="7"/>
        <v>3</v>
      </c>
      <c r="AQ20">
        <f t="shared" si="8"/>
        <v>2</v>
      </c>
      <c r="AR20" s="29">
        <f t="shared" si="9"/>
        <v>91.304347826086953</v>
      </c>
      <c r="AS20" t="str">
        <f t="shared" si="10"/>
        <v>Excellent</v>
      </c>
    </row>
    <row r="21" spans="1:45" x14ac:dyDescent="0.3">
      <c r="A21" s="1"/>
      <c r="B21" s="1"/>
      <c r="C21" s="1"/>
      <c r="D21" s="1"/>
      <c r="E21" s="1"/>
      <c r="G21" s="2">
        <v>114</v>
      </c>
      <c r="H21" t="s">
        <v>25</v>
      </c>
      <c r="I21" t="s">
        <v>11</v>
      </c>
      <c r="J21" t="s">
        <v>11</v>
      </c>
      <c r="K21" t="s">
        <v>11</v>
      </c>
      <c r="L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73</v>
      </c>
      <c r="Z21" t="s">
        <v>11</v>
      </c>
      <c r="AB21" t="s">
        <v>73</v>
      </c>
      <c r="AC21" t="s">
        <v>73</v>
      </c>
      <c r="AD21" t="s">
        <v>11</v>
      </c>
      <c r="AE21" t="s">
        <v>11</v>
      </c>
      <c r="AF21" t="s">
        <v>11</v>
      </c>
      <c r="AG21" t="s">
        <v>11</v>
      </c>
      <c r="AI21" t="s">
        <v>11</v>
      </c>
      <c r="AJ21" t="s">
        <v>11</v>
      </c>
      <c r="AK21" t="s">
        <v>11</v>
      </c>
      <c r="AL21" t="s">
        <v>11</v>
      </c>
      <c r="AM21" t="s">
        <v>11</v>
      </c>
      <c r="AN21">
        <f t="shared" si="5"/>
        <v>25</v>
      </c>
      <c r="AO21">
        <f t="shared" si="6"/>
        <v>22</v>
      </c>
      <c r="AP21">
        <f t="shared" si="7"/>
        <v>2</v>
      </c>
      <c r="AQ21">
        <f t="shared" si="8"/>
        <v>0</v>
      </c>
      <c r="AR21" s="29">
        <f t="shared" si="9"/>
        <v>88</v>
      </c>
      <c r="AS21" t="str">
        <f t="shared" si="10"/>
        <v>Good</v>
      </c>
    </row>
    <row r="22" spans="1:45" x14ac:dyDescent="0.3">
      <c r="A22" s="1"/>
      <c r="B22" s="1"/>
      <c r="C22" s="1"/>
      <c r="D22" s="1"/>
      <c r="E22" s="1"/>
      <c r="G22" s="2">
        <v>115</v>
      </c>
      <c r="H22" t="s">
        <v>26</v>
      </c>
      <c r="I22" t="s">
        <v>11</v>
      </c>
      <c r="J22" t="s">
        <v>11</v>
      </c>
      <c r="K22" t="s">
        <v>11</v>
      </c>
      <c r="L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U22" t="s">
        <v>11</v>
      </c>
      <c r="V22" t="s">
        <v>11</v>
      </c>
      <c r="W22" t="s">
        <v>11</v>
      </c>
      <c r="X22" t="s">
        <v>73</v>
      </c>
      <c r="Y22" t="s">
        <v>73</v>
      </c>
      <c r="Z22" t="s">
        <v>11</v>
      </c>
      <c r="AB22" t="s">
        <v>11</v>
      </c>
      <c r="AC22" t="s">
        <v>11</v>
      </c>
      <c r="AD22" t="s">
        <v>11</v>
      </c>
      <c r="AE22" t="s">
        <v>11</v>
      </c>
      <c r="AF22" t="s">
        <v>11</v>
      </c>
      <c r="AG22" t="s">
        <v>11</v>
      </c>
      <c r="AI22" t="s">
        <v>11</v>
      </c>
      <c r="AJ22" t="s">
        <v>11</v>
      </c>
      <c r="AK22" t="s">
        <v>73</v>
      </c>
      <c r="AL22" t="s">
        <v>73</v>
      </c>
      <c r="AM22" t="s">
        <v>73</v>
      </c>
      <c r="AN22">
        <f t="shared" si="5"/>
        <v>25</v>
      </c>
      <c r="AO22">
        <f t="shared" si="6"/>
        <v>22</v>
      </c>
      <c r="AP22">
        <f t="shared" si="7"/>
        <v>3</v>
      </c>
      <c r="AQ22">
        <f t="shared" si="8"/>
        <v>0</v>
      </c>
      <c r="AR22" s="29">
        <f t="shared" si="9"/>
        <v>88</v>
      </c>
      <c r="AS22" t="str">
        <f t="shared" si="10"/>
        <v>Good</v>
      </c>
    </row>
    <row r="23" spans="1:45" x14ac:dyDescent="0.3">
      <c r="A23" s="1"/>
      <c r="B23" s="1"/>
      <c r="C23" s="1"/>
      <c r="D23" s="1"/>
      <c r="E23" s="1"/>
      <c r="G23" s="2">
        <v>116</v>
      </c>
      <c r="H23" t="s">
        <v>27</v>
      </c>
      <c r="I23" t="s">
        <v>11</v>
      </c>
      <c r="J23" t="s">
        <v>11</v>
      </c>
      <c r="K23" t="s">
        <v>11</v>
      </c>
      <c r="L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U23" t="s">
        <v>11</v>
      </c>
      <c r="V23" t="s">
        <v>11</v>
      </c>
      <c r="W23" t="s">
        <v>11</v>
      </c>
      <c r="X23" t="s">
        <v>73</v>
      </c>
      <c r="Y23" t="s">
        <v>73</v>
      </c>
      <c r="Z23" t="s">
        <v>11</v>
      </c>
      <c r="AB23" t="s">
        <v>11</v>
      </c>
      <c r="AC23" t="s">
        <v>11</v>
      </c>
      <c r="AD23" t="s">
        <v>11</v>
      </c>
      <c r="AE23" t="s">
        <v>77</v>
      </c>
      <c r="AF23" t="s">
        <v>11</v>
      </c>
      <c r="AG23" t="s">
        <v>11</v>
      </c>
      <c r="AI23" t="s">
        <v>73</v>
      </c>
      <c r="AJ23" t="s">
        <v>73</v>
      </c>
      <c r="AK23" t="s">
        <v>11</v>
      </c>
      <c r="AL23" t="s">
        <v>11</v>
      </c>
      <c r="AM23" t="s">
        <v>11</v>
      </c>
      <c r="AN23">
        <f t="shared" si="5"/>
        <v>24</v>
      </c>
      <c r="AO23">
        <f t="shared" si="6"/>
        <v>20</v>
      </c>
      <c r="AP23">
        <f t="shared" si="7"/>
        <v>3</v>
      </c>
      <c r="AQ23">
        <f t="shared" si="8"/>
        <v>1</v>
      </c>
      <c r="AR23" s="29">
        <f t="shared" si="9"/>
        <v>83.333333333333343</v>
      </c>
      <c r="AS23" t="str">
        <f t="shared" si="10"/>
        <v>Good</v>
      </c>
    </row>
    <row r="24" spans="1:45" x14ac:dyDescent="0.3">
      <c r="G24" s="2">
        <v>117</v>
      </c>
      <c r="H24" t="s">
        <v>28</v>
      </c>
      <c r="I24" t="s">
        <v>11</v>
      </c>
      <c r="J24" t="s">
        <v>11</v>
      </c>
      <c r="K24" t="s">
        <v>11</v>
      </c>
      <c r="L24" t="s">
        <v>11</v>
      </c>
      <c r="N24" t="s">
        <v>11</v>
      </c>
      <c r="O24" t="s">
        <v>11</v>
      </c>
      <c r="P24" t="s">
        <v>77</v>
      </c>
      <c r="Q24" t="s">
        <v>77</v>
      </c>
      <c r="R24" t="s">
        <v>77</v>
      </c>
      <c r="S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B24" t="s">
        <v>11</v>
      </c>
      <c r="AC24" t="s">
        <v>11</v>
      </c>
      <c r="AD24" t="s">
        <v>11</v>
      </c>
      <c r="AE24" t="s">
        <v>11</v>
      </c>
      <c r="AF24" t="s">
        <v>11</v>
      </c>
      <c r="AG24" t="s">
        <v>11</v>
      </c>
      <c r="AI24" t="s">
        <v>73</v>
      </c>
      <c r="AJ24" t="s">
        <v>73</v>
      </c>
      <c r="AK24" t="s">
        <v>73</v>
      </c>
      <c r="AL24" t="s">
        <v>73</v>
      </c>
      <c r="AM24" t="s">
        <v>11</v>
      </c>
      <c r="AN24">
        <f t="shared" si="5"/>
        <v>15</v>
      </c>
      <c r="AO24">
        <f t="shared" si="6"/>
        <v>12</v>
      </c>
      <c r="AP24">
        <f t="shared" si="7"/>
        <v>4</v>
      </c>
      <c r="AQ24">
        <f t="shared" si="8"/>
        <v>10</v>
      </c>
      <c r="AR24" s="29">
        <f t="shared" si="9"/>
        <v>80</v>
      </c>
      <c r="AS24" t="str">
        <f t="shared" si="10"/>
        <v>Good</v>
      </c>
    </row>
    <row r="25" spans="1:45" x14ac:dyDescent="0.3">
      <c r="G25" s="2">
        <v>118</v>
      </c>
      <c r="H25" t="s">
        <v>29</v>
      </c>
      <c r="I25" t="s">
        <v>11</v>
      </c>
      <c r="J25" t="s">
        <v>11</v>
      </c>
      <c r="K25" t="s">
        <v>11</v>
      </c>
      <c r="L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U25" t="s">
        <v>11</v>
      </c>
      <c r="V25" t="s">
        <v>11</v>
      </c>
      <c r="W25" t="s">
        <v>77</v>
      </c>
      <c r="X25" t="s">
        <v>73</v>
      </c>
      <c r="Y25" t="s">
        <v>73</v>
      </c>
      <c r="Z25" t="s">
        <v>11</v>
      </c>
      <c r="AB25" t="s">
        <v>11</v>
      </c>
      <c r="AC25" t="s">
        <v>11</v>
      </c>
      <c r="AD25" t="s">
        <v>11</v>
      </c>
      <c r="AE25" t="s">
        <v>11</v>
      </c>
      <c r="AF25" t="s">
        <v>77</v>
      </c>
      <c r="AG25" t="s">
        <v>11</v>
      </c>
      <c r="AI25" t="s">
        <v>11</v>
      </c>
      <c r="AJ25" t="s">
        <v>11</v>
      </c>
      <c r="AK25" t="s">
        <v>11</v>
      </c>
      <c r="AL25" t="s">
        <v>11</v>
      </c>
      <c r="AM25" t="s">
        <v>11</v>
      </c>
      <c r="AN25">
        <f t="shared" si="5"/>
        <v>23</v>
      </c>
      <c r="AO25">
        <f t="shared" si="6"/>
        <v>21</v>
      </c>
      <c r="AP25">
        <f t="shared" si="7"/>
        <v>3</v>
      </c>
      <c r="AQ25">
        <f t="shared" si="8"/>
        <v>2</v>
      </c>
      <c r="AR25" s="29">
        <f t="shared" si="9"/>
        <v>91.304347826086953</v>
      </c>
      <c r="AS25" t="str">
        <f t="shared" si="10"/>
        <v>Excellent</v>
      </c>
    </row>
    <row r="26" spans="1:45" x14ac:dyDescent="0.3">
      <c r="G26" s="2">
        <v>119</v>
      </c>
      <c r="H26" t="s">
        <v>30</v>
      </c>
      <c r="I26" t="s">
        <v>11</v>
      </c>
      <c r="J26" t="s">
        <v>11</v>
      </c>
      <c r="K26" t="s">
        <v>11</v>
      </c>
      <c r="L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U26" t="s">
        <v>11</v>
      </c>
      <c r="V26" t="s">
        <v>11</v>
      </c>
      <c r="W26" t="s">
        <v>11</v>
      </c>
      <c r="X26" t="s">
        <v>73</v>
      </c>
      <c r="Y26" t="s">
        <v>11</v>
      </c>
      <c r="Z26" t="s">
        <v>11</v>
      </c>
      <c r="AB26" t="s">
        <v>11</v>
      </c>
      <c r="AC26" t="s">
        <v>11</v>
      </c>
      <c r="AD26" t="s">
        <v>11</v>
      </c>
      <c r="AE26" t="s">
        <v>11</v>
      </c>
      <c r="AF26" t="s">
        <v>11</v>
      </c>
      <c r="AG26" t="s">
        <v>11</v>
      </c>
      <c r="AI26" t="s">
        <v>11</v>
      </c>
      <c r="AJ26" t="s">
        <v>77</v>
      </c>
      <c r="AK26" t="s">
        <v>11</v>
      </c>
      <c r="AL26" t="s">
        <v>73</v>
      </c>
      <c r="AM26" t="s">
        <v>73</v>
      </c>
      <c r="AN26">
        <f t="shared" si="5"/>
        <v>24</v>
      </c>
      <c r="AO26">
        <f t="shared" si="6"/>
        <v>23</v>
      </c>
      <c r="AP26">
        <f t="shared" si="7"/>
        <v>2</v>
      </c>
      <c r="AQ26">
        <f t="shared" si="8"/>
        <v>1</v>
      </c>
      <c r="AR26" s="29">
        <f t="shared" si="9"/>
        <v>95.833333333333343</v>
      </c>
      <c r="AS26" t="str">
        <f t="shared" si="10"/>
        <v>Excellent</v>
      </c>
    </row>
    <row r="27" spans="1:45" x14ac:dyDescent="0.3">
      <c r="G27" s="2">
        <v>120</v>
      </c>
      <c r="H27" t="s">
        <v>31</v>
      </c>
      <c r="I27" t="s">
        <v>11</v>
      </c>
      <c r="J27" t="s">
        <v>11</v>
      </c>
      <c r="K27" t="s">
        <v>11</v>
      </c>
      <c r="L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  <c r="Z27" t="s">
        <v>73</v>
      </c>
      <c r="AB27" t="s">
        <v>11</v>
      </c>
      <c r="AC27" t="s">
        <v>11</v>
      </c>
      <c r="AD27" t="s">
        <v>11</v>
      </c>
      <c r="AE27" t="s">
        <v>11</v>
      </c>
      <c r="AF27" t="s">
        <v>11</v>
      </c>
      <c r="AG27" t="s">
        <v>11</v>
      </c>
      <c r="AI27" t="s">
        <v>11</v>
      </c>
      <c r="AJ27" t="s">
        <v>11</v>
      </c>
      <c r="AK27" t="s">
        <v>11</v>
      </c>
      <c r="AL27" t="s">
        <v>73</v>
      </c>
      <c r="AM27" t="s">
        <v>77</v>
      </c>
      <c r="AN27">
        <f t="shared" si="5"/>
        <v>25</v>
      </c>
      <c r="AO27">
        <f t="shared" si="6"/>
        <v>24</v>
      </c>
      <c r="AP27">
        <f t="shared" si="7"/>
        <v>1</v>
      </c>
      <c r="AQ27">
        <f t="shared" si="8"/>
        <v>0</v>
      </c>
      <c r="AR27" s="29">
        <f t="shared" si="9"/>
        <v>96</v>
      </c>
      <c r="AS27" t="str">
        <f t="shared" si="10"/>
        <v>Excellent</v>
      </c>
    </row>
    <row r="28" spans="1:45" x14ac:dyDescent="0.3">
      <c r="G28" s="2">
        <v>121</v>
      </c>
      <c r="H28" t="s">
        <v>32</v>
      </c>
      <c r="I28" t="s">
        <v>11</v>
      </c>
      <c r="J28" t="s">
        <v>11</v>
      </c>
      <c r="K28" t="s">
        <v>11</v>
      </c>
      <c r="L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U28" t="s">
        <v>11</v>
      </c>
      <c r="V28" t="s">
        <v>11</v>
      </c>
      <c r="W28" t="s">
        <v>11</v>
      </c>
      <c r="X28" t="s">
        <v>11</v>
      </c>
      <c r="Y28" t="s">
        <v>11</v>
      </c>
      <c r="Z28" t="s">
        <v>11</v>
      </c>
      <c r="AB28" t="s">
        <v>11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I28" t="s">
        <v>11</v>
      </c>
      <c r="AJ28" t="s">
        <v>11</v>
      </c>
      <c r="AK28" t="s">
        <v>73</v>
      </c>
      <c r="AL28" t="s">
        <v>11</v>
      </c>
      <c r="AM28" t="s">
        <v>73</v>
      </c>
      <c r="AN28">
        <f t="shared" si="5"/>
        <v>25</v>
      </c>
      <c r="AO28">
        <f t="shared" si="6"/>
        <v>19</v>
      </c>
      <c r="AP28">
        <f t="shared" si="7"/>
        <v>1</v>
      </c>
      <c r="AQ28">
        <f t="shared" si="8"/>
        <v>0</v>
      </c>
      <c r="AR28" s="29">
        <f t="shared" si="9"/>
        <v>76</v>
      </c>
      <c r="AS28" t="str">
        <f t="shared" si="10"/>
        <v>Good</v>
      </c>
    </row>
    <row r="29" spans="1:45" x14ac:dyDescent="0.3">
      <c r="G29" s="2">
        <v>122</v>
      </c>
      <c r="H29" t="s">
        <v>33</v>
      </c>
      <c r="I29" t="s">
        <v>11</v>
      </c>
      <c r="J29" t="s">
        <v>73</v>
      </c>
      <c r="K29" t="s">
        <v>73</v>
      </c>
      <c r="L29" t="s">
        <v>73</v>
      </c>
      <c r="N29" t="s">
        <v>73</v>
      </c>
      <c r="O29" t="s">
        <v>73</v>
      </c>
      <c r="P29" t="s">
        <v>11</v>
      </c>
      <c r="Q29" t="s">
        <v>11</v>
      </c>
      <c r="R29" t="s">
        <v>11</v>
      </c>
      <c r="S29" t="s">
        <v>11</v>
      </c>
      <c r="U29" t="s">
        <v>11</v>
      </c>
      <c r="V29" t="s">
        <v>11</v>
      </c>
      <c r="W29" t="s">
        <v>11</v>
      </c>
      <c r="X29" t="s">
        <v>11</v>
      </c>
      <c r="Y29" t="s">
        <v>73</v>
      </c>
      <c r="Z29" t="s">
        <v>11</v>
      </c>
      <c r="AB29" t="s">
        <v>11</v>
      </c>
      <c r="AC29" t="s">
        <v>11</v>
      </c>
      <c r="AD29" t="s">
        <v>11</v>
      </c>
      <c r="AE29" t="s">
        <v>11</v>
      </c>
      <c r="AF29" t="s">
        <v>11</v>
      </c>
      <c r="AG29" t="s">
        <v>11</v>
      </c>
      <c r="AI29" t="s">
        <v>11</v>
      </c>
      <c r="AJ29" t="s">
        <v>11</v>
      </c>
      <c r="AK29" t="s">
        <v>73</v>
      </c>
      <c r="AL29" t="s">
        <v>11</v>
      </c>
      <c r="AM29" t="s">
        <v>77</v>
      </c>
      <c r="AN29">
        <f t="shared" si="5"/>
        <v>25</v>
      </c>
      <c r="AO29">
        <f t="shared" si="6"/>
        <v>18</v>
      </c>
      <c r="AP29">
        <f t="shared" si="7"/>
        <v>6</v>
      </c>
      <c r="AQ29">
        <f t="shared" si="8"/>
        <v>0</v>
      </c>
      <c r="AR29" s="29">
        <f t="shared" si="9"/>
        <v>72</v>
      </c>
      <c r="AS29" t="str">
        <f t="shared" si="10"/>
        <v>Low</v>
      </c>
    </row>
    <row r="30" spans="1:45" x14ac:dyDescent="0.3">
      <c r="G30" s="2">
        <v>123</v>
      </c>
      <c r="H30" t="s">
        <v>34</v>
      </c>
      <c r="I30" t="s">
        <v>11</v>
      </c>
      <c r="J30" t="s">
        <v>73</v>
      </c>
      <c r="K30" t="s">
        <v>11</v>
      </c>
      <c r="L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  <c r="Z30" t="s">
        <v>11</v>
      </c>
      <c r="AB30" t="s">
        <v>11</v>
      </c>
      <c r="AC30" t="s">
        <v>11</v>
      </c>
      <c r="AD30" t="s">
        <v>11</v>
      </c>
      <c r="AE30" t="s">
        <v>11</v>
      </c>
      <c r="AF30" t="s">
        <v>11</v>
      </c>
      <c r="AG30" t="s">
        <v>11</v>
      </c>
      <c r="AI30" t="s">
        <v>11</v>
      </c>
      <c r="AJ30" t="s">
        <v>11</v>
      </c>
      <c r="AK30" t="s">
        <v>73</v>
      </c>
      <c r="AL30" t="s">
        <v>73</v>
      </c>
      <c r="AM30" t="s">
        <v>73</v>
      </c>
      <c r="AN30">
        <f t="shared" si="5"/>
        <v>25</v>
      </c>
      <c r="AO30">
        <f t="shared" si="6"/>
        <v>23</v>
      </c>
      <c r="AP30">
        <f t="shared" si="7"/>
        <v>7</v>
      </c>
      <c r="AQ30">
        <f t="shared" si="8"/>
        <v>0</v>
      </c>
      <c r="AR30" s="29">
        <f t="shared" si="9"/>
        <v>92</v>
      </c>
      <c r="AS30" t="str">
        <f t="shared" si="10"/>
        <v>Excellent</v>
      </c>
    </row>
    <row r="31" spans="1:45" x14ac:dyDescent="0.3">
      <c r="G31" s="2">
        <v>124</v>
      </c>
      <c r="H31" t="s">
        <v>35</v>
      </c>
      <c r="I31" t="s">
        <v>11</v>
      </c>
      <c r="J31" t="s">
        <v>11</v>
      </c>
      <c r="K31" t="s">
        <v>11</v>
      </c>
      <c r="L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73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11</v>
      </c>
      <c r="AB31" t="s">
        <v>11</v>
      </c>
      <c r="AC31" t="s">
        <v>77</v>
      </c>
      <c r="AD31" t="s">
        <v>11</v>
      </c>
      <c r="AE31" t="s">
        <v>11</v>
      </c>
      <c r="AF31" t="s">
        <v>11</v>
      </c>
      <c r="AG31" t="s">
        <v>11</v>
      </c>
      <c r="AI31" t="s">
        <v>11</v>
      </c>
      <c r="AJ31" t="s">
        <v>11</v>
      </c>
      <c r="AK31" t="s">
        <v>73</v>
      </c>
      <c r="AL31" t="s">
        <v>73</v>
      </c>
      <c r="AM31" t="s">
        <v>73</v>
      </c>
      <c r="AN31">
        <f t="shared" si="5"/>
        <v>24</v>
      </c>
      <c r="AO31">
        <f t="shared" si="6"/>
        <v>22</v>
      </c>
      <c r="AP31">
        <f t="shared" si="7"/>
        <v>2</v>
      </c>
      <c r="AQ31">
        <f t="shared" si="8"/>
        <v>1</v>
      </c>
      <c r="AR31" s="29">
        <f t="shared" si="9"/>
        <v>91.666666666666657</v>
      </c>
      <c r="AS31" t="str">
        <f t="shared" si="10"/>
        <v>Excellent</v>
      </c>
    </row>
    <row r="32" spans="1:45" x14ac:dyDescent="0.3">
      <c r="G32" s="2">
        <v>125</v>
      </c>
      <c r="H32" t="s">
        <v>36</v>
      </c>
      <c r="I32" t="s">
        <v>11</v>
      </c>
      <c r="J32" t="s">
        <v>11</v>
      </c>
      <c r="K32" t="s">
        <v>11</v>
      </c>
      <c r="L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B32" t="s">
        <v>11</v>
      </c>
      <c r="AC32" t="s">
        <v>11</v>
      </c>
      <c r="AD32" t="s">
        <v>11</v>
      </c>
      <c r="AE32" t="s">
        <v>11</v>
      </c>
      <c r="AF32" t="s">
        <v>73</v>
      </c>
      <c r="AG32" t="s">
        <v>73</v>
      </c>
      <c r="AI32" t="s">
        <v>11</v>
      </c>
      <c r="AJ32" t="s">
        <v>11</v>
      </c>
      <c r="AK32" t="s">
        <v>73</v>
      </c>
      <c r="AL32" t="s">
        <v>11</v>
      </c>
      <c r="AM32" t="s">
        <v>11</v>
      </c>
      <c r="AN32">
        <f t="shared" si="5"/>
        <v>25</v>
      </c>
      <c r="AO32">
        <f t="shared" si="6"/>
        <v>22</v>
      </c>
      <c r="AP32">
        <f t="shared" si="7"/>
        <v>2</v>
      </c>
      <c r="AQ32">
        <f t="shared" si="8"/>
        <v>0</v>
      </c>
      <c r="AR32" s="29">
        <f t="shared" si="9"/>
        <v>88</v>
      </c>
      <c r="AS32" t="str">
        <f t="shared" si="10"/>
        <v>Good</v>
      </c>
    </row>
    <row r="33" spans="7:45" x14ac:dyDescent="0.3">
      <c r="G33" s="2">
        <v>126</v>
      </c>
      <c r="H33" t="s">
        <v>37</v>
      </c>
      <c r="I33" t="s">
        <v>11</v>
      </c>
      <c r="J33" t="s">
        <v>11</v>
      </c>
      <c r="K33" t="s">
        <v>11</v>
      </c>
      <c r="L33" t="s">
        <v>11</v>
      </c>
      <c r="N33" t="s">
        <v>77</v>
      </c>
      <c r="O33" t="s">
        <v>77</v>
      </c>
      <c r="P33" t="s">
        <v>11</v>
      </c>
      <c r="Q33" t="s">
        <v>73</v>
      </c>
      <c r="R33" t="s">
        <v>11</v>
      </c>
      <c r="S33" t="s">
        <v>11</v>
      </c>
      <c r="U33" t="s">
        <v>11</v>
      </c>
      <c r="V33" t="s">
        <v>73</v>
      </c>
      <c r="W33" t="s">
        <v>11</v>
      </c>
      <c r="X33" t="s">
        <v>11</v>
      </c>
      <c r="Y33" t="s">
        <v>73</v>
      </c>
      <c r="Z33" t="s">
        <v>73</v>
      </c>
      <c r="AB33" t="s">
        <v>73</v>
      </c>
      <c r="AC33" t="s">
        <v>73</v>
      </c>
      <c r="AD33" t="s">
        <v>11</v>
      </c>
      <c r="AE33" t="s">
        <v>11</v>
      </c>
      <c r="AF33" t="s">
        <v>11</v>
      </c>
      <c r="AG33" t="s">
        <v>11</v>
      </c>
      <c r="AI33" t="s">
        <v>11</v>
      </c>
      <c r="AJ33" t="s">
        <v>11</v>
      </c>
      <c r="AK33" t="s">
        <v>73</v>
      </c>
      <c r="AL33" t="s">
        <v>11</v>
      </c>
      <c r="AM33" t="s">
        <v>11</v>
      </c>
      <c r="AN33">
        <f t="shared" si="5"/>
        <v>23</v>
      </c>
      <c r="AO33">
        <f t="shared" si="6"/>
        <v>16</v>
      </c>
      <c r="AP33">
        <f t="shared" si="7"/>
        <v>3</v>
      </c>
      <c r="AQ33">
        <f t="shared" si="8"/>
        <v>2</v>
      </c>
      <c r="AR33" s="29">
        <f t="shared" si="9"/>
        <v>69.565217391304344</v>
      </c>
      <c r="AS33" t="str">
        <f t="shared" si="10"/>
        <v>Low</v>
      </c>
    </row>
    <row r="34" spans="7:45" x14ac:dyDescent="0.3">
      <c r="G34" s="2">
        <v>127</v>
      </c>
      <c r="H34" t="s">
        <v>38</v>
      </c>
      <c r="I34" t="s">
        <v>11</v>
      </c>
      <c r="J34" t="s">
        <v>11</v>
      </c>
      <c r="K34" t="s">
        <v>11</v>
      </c>
      <c r="L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11</v>
      </c>
      <c r="Z34" t="s">
        <v>11</v>
      </c>
      <c r="AB34" t="s">
        <v>11</v>
      </c>
      <c r="AC34" t="s">
        <v>73</v>
      </c>
      <c r="AD34" t="s">
        <v>11</v>
      </c>
      <c r="AE34" t="s">
        <v>11</v>
      </c>
      <c r="AF34" t="s">
        <v>11</v>
      </c>
      <c r="AG34" t="s">
        <v>11</v>
      </c>
      <c r="AI34" t="s">
        <v>11</v>
      </c>
      <c r="AJ34" t="s">
        <v>11</v>
      </c>
      <c r="AK34" t="s">
        <v>73</v>
      </c>
      <c r="AL34" t="s">
        <v>11</v>
      </c>
      <c r="AM34" t="s">
        <v>11</v>
      </c>
      <c r="AN34">
        <f t="shared" si="5"/>
        <v>25</v>
      </c>
      <c r="AO34">
        <f t="shared" si="6"/>
        <v>23</v>
      </c>
      <c r="AP34">
        <f t="shared" si="7"/>
        <v>7</v>
      </c>
      <c r="AQ34">
        <f t="shared" si="8"/>
        <v>0</v>
      </c>
      <c r="AR34" s="29">
        <f t="shared" si="9"/>
        <v>92</v>
      </c>
      <c r="AS34" t="str">
        <f t="shared" si="10"/>
        <v>Excellent</v>
      </c>
    </row>
    <row r="35" spans="7:45" x14ac:dyDescent="0.3">
      <c r="G35" s="2">
        <v>128</v>
      </c>
      <c r="H35" t="s">
        <v>39</v>
      </c>
      <c r="I35" t="s">
        <v>11</v>
      </c>
      <c r="J35" t="s">
        <v>73</v>
      </c>
      <c r="K35" t="s">
        <v>11</v>
      </c>
      <c r="L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  <c r="AB35" t="s">
        <v>11</v>
      </c>
      <c r="AC35" t="s">
        <v>11</v>
      </c>
      <c r="AD35" t="s">
        <v>11</v>
      </c>
      <c r="AE35" t="s">
        <v>77</v>
      </c>
      <c r="AF35" t="s">
        <v>77</v>
      </c>
      <c r="AG35" t="s">
        <v>77</v>
      </c>
      <c r="AI35" t="s">
        <v>77</v>
      </c>
      <c r="AJ35" t="s">
        <v>77</v>
      </c>
      <c r="AK35" t="s">
        <v>73</v>
      </c>
      <c r="AL35" t="s">
        <v>73</v>
      </c>
      <c r="AM35" t="s">
        <v>11</v>
      </c>
      <c r="AN35">
        <f t="shared" si="5"/>
        <v>20</v>
      </c>
      <c r="AO35">
        <f t="shared" si="6"/>
        <v>18</v>
      </c>
      <c r="AP35">
        <f t="shared" si="7"/>
        <v>2</v>
      </c>
      <c r="AQ35">
        <f t="shared" si="8"/>
        <v>5</v>
      </c>
      <c r="AR35" s="29">
        <f t="shared" si="9"/>
        <v>90</v>
      </c>
      <c r="AS35" t="str">
        <f t="shared" si="10"/>
        <v>Excellent</v>
      </c>
    </row>
    <row r="36" spans="7:45" x14ac:dyDescent="0.3">
      <c r="G36" s="2">
        <v>129</v>
      </c>
      <c r="H36" t="s">
        <v>40</v>
      </c>
      <c r="I36" t="s">
        <v>11</v>
      </c>
      <c r="J36" t="s">
        <v>73</v>
      </c>
      <c r="K36" t="s">
        <v>11</v>
      </c>
      <c r="L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U36" t="s">
        <v>11</v>
      </c>
      <c r="V36" t="s">
        <v>11</v>
      </c>
      <c r="W36" t="s">
        <v>11</v>
      </c>
      <c r="X36" t="s">
        <v>11</v>
      </c>
      <c r="Y36" t="s">
        <v>11</v>
      </c>
      <c r="Z36" t="s">
        <v>11</v>
      </c>
      <c r="AB36" t="s">
        <v>11</v>
      </c>
      <c r="AC36" t="s">
        <v>11</v>
      </c>
      <c r="AD36" t="s">
        <v>73</v>
      </c>
      <c r="AE36" t="s">
        <v>73</v>
      </c>
      <c r="AF36" t="s">
        <v>11</v>
      </c>
      <c r="AG36" t="s">
        <v>11</v>
      </c>
      <c r="AI36" t="s">
        <v>11</v>
      </c>
      <c r="AJ36" t="s">
        <v>11</v>
      </c>
      <c r="AK36" t="s">
        <v>73</v>
      </c>
      <c r="AL36" t="s">
        <v>11</v>
      </c>
      <c r="AM36" t="s">
        <v>11</v>
      </c>
      <c r="AN36">
        <f t="shared" si="5"/>
        <v>25</v>
      </c>
      <c r="AO36">
        <f t="shared" si="6"/>
        <v>21</v>
      </c>
      <c r="AP36">
        <f t="shared" si="7"/>
        <v>2</v>
      </c>
      <c r="AQ36">
        <f t="shared" si="8"/>
        <v>0</v>
      </c>
      <c r="AR36" s="29">
        <f t="shared" si="9"/>
        <v>84</v>
      </c>
      <c r="AS36" t="str">
        <f t="shared" si="10"/>
        <v>Good</v>
      </c>
    </row>
    <row r="37" spans="7:45" x14ac:dyDescent="0.3">
      <c r="G37" s="2">
        <v>130</v>
      </c>
      <c r="H37" t="s">
        <v>41</v>
      </c>
      <c r="I37" t="s">
        <v>11</v>
      </c>
      <c r="J37" t="s">
        <v>73</v>
      </c>
      <c r="K37" t="s">
        <v>11</v>
      </c>
      <c r="L37" t="s">
        <v>11</v>
      </c>
      <c r="N37" t="s">
        <v>11</v>
      </c>
      <c r="O37" t="s">
        <v>11</v>
      </c>
      <c r="P37" t="s">
        <v>11</v>
      </c>
      <c r="Q37" t="s">
        <v>73</v>
      </c>
      <c r="R37" t="s">
        <v>73</v>
      </c>
      <c r="S37" t="s">
        <v>73</v>
      </c>
      <c r="U37" t="s">
        <v>73</v>
      </c>
      <c r="V37" t="s">
        <v>73</v>
      </c>
      <c r="W37" t="s">
        <v>11</v>
      </c>
      <c r="X37" t="s">
        <v>11</v>
      </c>
      <c r="Y37" t="s">
        <v>77</v>
      </c>
      <c r="Z37" t="s">
        <v>11</v>
      </c>
      <c r="AB37" t="s">
        <v>11</v>
      </c>
      <c r="AC37" t="s">
        <v>11</v>
      </c>
      <c r="AD37" t="s">
        <v>11</v>
      </c>
      <c r="AE37" t="s">
        <v>11</v>
      </c>
      <c r="AF37" t="s">
        <v>11</v>
      </c>
      <c r="AG37" t="s">
        <v>11</v>
      </c>
      <c r="AI37" t="s">
        <v>11</v>
      </c>
      <c r="AJ37" t="s">
        <v>73</v>
      </c>
      <c r="AK37" t="s">
        <v>73</v>
      </c>
      <c r="AL37" t="s">
        <v>73</v>
      </c>
      <c r="AM37" t="s">
        <v>11</v>
      </c>
      <c r="AN37" s="30">
        <f t="shared" si="5"/>
        <v>24</v>
      </c>
      <c r="AO37" s="30">
        <f t="shared" si="6"/>
        <v>16</v>
      </c>
      <c r="AP37" s="30">
        <f t="shared" si="7"/>
        <v>4</v>
      </c>
      <c r="AQ37" s="30">
        <f t="shared" si="8"/>
        <v>1</v>
      </c>
      <c r="AR37" s="29">
        <f t="shared" si="9"/>
        <v>66.666666666666657</v>
      </c>
      <c r="AS37" s="30" t="str">
        <f t="shared" si="10"/>
        <v>Low</v>
      </c>
    </row>
  </sheetData>
  <mergeCells count="6">
    <mergeCell ref="R2:X3"/>
    <mergeCell ref="B12:C12"/>
    <mergeCell ref="B15:C15"/>
    <mergeCell ref="B6:D7"/>
    <mergeCell ref="B11:C11"/>
    <mergeCell ref="B9:C9"/>
  </mergeCells>
  <conditionalFormatting sqref="G7:AM7">
    <cfRule type="timePeriod" dxfId="39" priority="21" timePeriod="today">
      <formula>FLOOR(G7,1)=TODAY()</formula>
    </cfRule>
    <cfRule type="expression" dxfId="38" priority="23">
      <formula>G$7&lt;&gt;""</formula>
    </cfRule>
  </conditionalFormatting>
  <conditionalFormatting sqref="G8:AM37">
    <cfRule type="expression" dxfId="37" priority="22">
      <formula>G$7&lt;&gt;""</formula>
    </cfRule>
  </conditionalFormatting>
  <conditionalFormatting sqref="I6:AM6">
    <cfRule type="containsText" dxfId="36" priority="16" operator="containsText" text="SUN">
      <formula>NOT(ISERROR(SEARCH("SUN",I6)))</formula>
    </cfRule>
    <cfRule type="containsText" priority="18" operator="containsText" text="SUN">
      <formula>NOT(ISERROR(SEARCH("SUN",I6)))</formula>
    </cfRule>
    <cfRule type="containsText" dxfId="35" priority="19" operator="containsText" text="SUN">
      <formula>NOT(ISERROR(SEARCH("SUN",I6)))</formula>
    </cfRule>
    <cfRule type="containsText" dxfId="34" priority="20" operator="containsText" text="SAT,SUN">
      <formula>NOT(ISERROR(SEARCH("SAT,SUN",I6)))</formula>
    </cfRule>
  </conditionalFormatting>
  <conditionalFormatting sqref="I8:AM37">
    <cfRule type="expression" dxfId="3" priority="17">
      <formula>I$6="SUN"</formula>
    </cfRule>
    <cfRule type="containsText" dxfId="4" priority="2" operator="containsText" text="A">
      <formula>NOT(ISERROR(SEARCH("A",I8)))</formula>
    </cfRule>
    <cfRule type="containsText" dxfId="5" priority="1" operator="containsText" text="L">
      <formula>NOT(ISERROR(SEARCH("L",I8)))</formula>
    </cfRule>
  </conditionalFormatting>
  <conditionalFormatting sqref="AU8:AU36">
    <cfRule type="containsText" dxfId="33" priority="13" operator="containsText" text="excellent">
      <formula>NOT(ISERROR(SEARCH("excellent",AU8)))</formula>
    </cfRule>
    <cfRule type="containsText" dxfId="32" priority="14" operator="containsText" text="LOw">
      <formula>NOT(ISERROR(SEARCH("LOw",AU8)))</formula>
    </cfRule>
    <cfRule type="expression" dxfId="31" priority="15">
      <formula>"Low"</formula>
    </cfRule>
  </conditionalFormatting>
  <conditionalFormatting sqref="BI7:BI35">
    <cfRule type="containsText" dxfId="30" priority="10" operator="containsText" text="excellent">
      <formula>NOT(ISERROR(SEARCH("excellent",BI7)))</formula>
    </cfRule>
    <cfRule type="containsText" dxfId="29" priority="11" operator="containsText" text="LOw">
      <formula>NOT(ISERROR(SEARCH("LOw",BI7)))</formula>
    </cfRule>
    <cfRule type="expression" dxfId="28" priority="12">
      <formula>"Low"</formula>
    </cfRule>
  </conditionalFormatting>
  <conditionalFormatting sqref="AS8:AS37">
    <cfRule type="containsText" dxfId="27" priority="4" operator="containsText" text="excellent">
      <formula>NOT(ISERROR(SEARCH("excellent",AS8)))</formula>
    </cfRule>
    <cfRule type="containsText" dxfId="26" priority="5" operator="containsText" text="LOw">
      <formula>NOT(ISERROR(SEARCH("LOw",AS8)))</formula>
    </cfRule>
    <cfRule type="expression" dxfId="25" priority="6">
      <formula>"Low"</formula>
    </cfRule>
  </conditionalFormatting>
  <conditionalFormatting sqref="AP8:AQ37">
    <cfRule type="containsText" dxfId="24" priority="3" operator="containsText" text="0">
      <formula>NOT(ISERROR(SEARCH("0",AP8)))</formula>
    </cfRule>
  </conditionalFormatting>
  <dataValidations count="2">
    <dataValidation type="list" allowBlank="1" showInputMessage="1" showErrorMessage="1" sqref="D15">
      <formula1>"2025, 2026"</formula1>
    </dataValidation>
    <dataValidation type="custom" allowBlank="1" showInputMessage="1" showErrorMessage="1" errorTitle="Invaild" error="Sunday Off" sqref="I8:AM37">
      <formula1>I$6&lt;&gt;"Sun"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'Month Name '!$A$1:$A$12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J11"/>
  <sheetViews>
    <sheetView topLeftCell="A7" workbookViewId="0">
      <selection activeCell="G8" sqref="G8"/>
    </sheetView>
  </sheetViews>
  <sheetFormatPr defaultRowHeight="14.4" x14ac:dyDescent="0.3"/>
  <cols>
    <col min="1" max="2" width="15.5546875" customWidth="1"/>
    <col min="3" max="3" width="11.88671875" customWidth="1"/>
    <col min="4" max="4" width="8.44140625" customWidth="1"/>
    <col min="5" max="5" width="10.109375" customWidth="1"/>
    <col min="6" max="6" width="8.21875" customWidth="1"/>
    <col min="7" max="7" width="10.88671875" customWidth="1"/>
    <col min="8" max="8" width="12.21875" customWidth="1"/>
    <col min="9" max="9" width="15" customWidth="1"/>
    <col min="10" max="10" width="9.44140625" customWidth="1"/>
    <col min="11" max="11" width="12.109375" customWidth="1"/>
    <col min="12" max="12" width="11" customWidth="1"/>
    <col min="13" max="13" width="13.77734375" customWidth="1"/>
    <col min="14" max="14" width="14.88671875" customWidth="1"/>
    <col min="15" max="15" width="17.77734375" customWidth="1"/>
    <col min="16" max="16" width="9.6640625" customWidth="1"/>
    <col min="17" max="17" width="12.33203125" customWidth="1"/>
    <col min="18" max="18" width="9.33203125" customWidth="1"/>
    <col min="19" max="19" width="12" customWidth="1"/>
    <col min="20" max="20" width="11.109375" customWidth="1"/>
    <col min="21" max="21" width="13.88671875" customWidth="1"/>
    <col min="22" max="22" width="11" customWidth="1"/>
    <col min="23" max="23" width="13.77734375" customWidth="1"/>
    <col min="24" max="24" width="7.33203125" customWidth="1"/>
    <col min="25" max="25" width="10" customWidth="1"/>
    <col min="26" max="26" width="7.109375" customWidth="1"/>
    <col min="27" max="27" width="9.77734375" customWidth="1"/>
    <col min="28" max="28" width="11.5546875" customWidth="1"/>
    <col min="29" max="29" width="14.33203125" customWidth="1"/>
    <col min="30" max="30" width="6.33203125" customWidth="1"/>
    <col min="31" max="31" width="9" customWidth="1"/>
    <col min="32" max="32" width="8.33203125" customWidth="1"/>
    <col min="33" max="33" width="11" customWidth="1"/>
    <col min="34" max="34" width="7.44140625" customWidth="1"/>
    <col min="35" max="35" width="10.109375" customWidth="1"/>
    <col min="36" max="36" width="8.44140625" customWidth="1"/>
    <col min="37" max="37" width="10.44140625" customWidth="1"/>
    <col min="38" max="38" width="11" customWidth="1"/>
    <col min="39" max="39" width="13.77734375" customWidth="1"/>
    <col min="40" max="40" width="8.44140625" customWidth="1"/>
    <col min="41" max="41" width="9.88671875" customWidth="1"/>
    <col min="42" max="42" width="7.77734375" customWidth="1"/>
    <col min="43" max="43" width="10.44140625" customWidth="1"/>
    <col min="44" max="44" width="7.5546875" customWidth="1"/>
    <col min="45" max="45" width="10.21875" customWidth="1"/>
    <col min="46" max="46" width="6.6640625" customWidth="1"/>
    <col min="47" max="47" width="9.33203125" customWidth="1"/>
    <col min="48" max="48" width="6.5546875" customWidth="1"/>
    <col min="49" max="49" width="9.21875" customWidth="1"/>
    <col min="50" max="50" width="7.44140625" customWidth="1"/>
    <col min="51" max="51" width="10.109375" customWidth="1"/>
    <col min="52" max="52" width="9.77734375" customWidth="1"/>
    <col min="53" max="53" width="12.44140625" customWidth="1"/>
    <col min="54" max="54" width="8.44140625" customWidth="1"/>
    <col min="55" max="55" width="10.6640625" customWidth="1"/>
    <col min="56" max="56" width="8.6640625" customWidth="1"/>
    <col min="57" max="57" width="11.33203125" customWidth="1"/>
    <col min="58" max="58" width="8.44140625" customWidth="1"/>
    <col min="59" max="59" width="10.77734375" customWidth="1"/>
    <col min="60" max="60" width="8.5546875" customWidth="1"/>
    <col min="61" max="61" width="11.21875" customWidth="1"/>
    <col min="62" max="62" width="10.77734375" customWidth="1"/>
  </cols>
  <sheetData>
    <row r="3" spans="1:62" x14ac:dyDescent="0.3">
      <c r="A3" s="14" t="s">
        <v>75</v>
      </c>
      <c r="B3" t="s">
        <v>132</v>
      </c>
    </row>
    <row r="5" spans="1:62" x14ac:dyDescent="0.3">
      <c r="B5" s="14" t="s">
        <v>100</v>
      </c>
    </row>
    <row r="6" spans="1:62" x14ac:dyDescent="0.3">
      <c r="B6" t="s">
        <v>29</v>
      </c>
      <c r="C6" t="s">
        <v>101</v>
      </c>
      <c r="D6" t="s">
        <v>38</v>
      </c>
      <c r="E6" t="s">
        <v>102</v>
      </c>
      <c r="F6" t="s">
        <v>23</v>
      </c>
      <c r="G6" t="s">
        <v>103</v>
      </c>
      <c r="H6" t="s">
        <v>20</v>
      </c>
      <c r="I6" t="s">
        <v>104</v>
      </c>
      <c r="J6" t="s">
        <v>34</v>
      </c>
      <c r="K6" t="s">
        <v>105</v>
      </c>
      <c r="L6" t="s">
        <v>39</v>
      </c>
      <c r="M6" t="s">
        <v>106</v>
      </c>
      <c r="N6" t="s">
        <v>33</v>
      </c>
      <c r="O6" t="s">
        <v>107</v>
      </c>
      <c r="P6" t="s">
        <v>40</v>
      </c>
      <c r="Q6" t="s">
        <v>108</v>
      </c>
      <c r="R6" t="s">
        <v>14</v>
      </c>
      <c r="S6" t="s">
        <v>109</v>
      </c>
      <c r="T6" t="s">
        <v>25</v>
      </c>
      <c r="U6" t="s">
        <v>110</v>
      </c>
      <c r="V6" t="s">
        <v>26</v>
      </c>
      <c r="W6" t="s">
        <v>111</v>
      </c>
      <c r="X6" t="s">
        <v>15</v>
      </c>
      <c r="Y6" t="s">
        <v>112</v>
      </c>
      <c r="Z6" t="s">
        <v>37</v>
      </c>
      <c r="AA6" t="s">
        <v>113</v>
      </c>
      <c r="AB6" t="s">
        <v>12</v>
      </c>
      <c r="AC6" t="s">
        <v>114</v>
      </c>
      <c r="AD6" t="s">
        <v>28</v>
      </c>
      <c r="AE6" t="s">
        <v>115</v>
      </c>
      <c r="AF6" t="s">
        <v>36</v>
      </c>
      <c r="AG6" t="s">
        <v>116</v>
      </c>
      <c r="AH6" t="s">
        <v>32</v>
      </c>
      <c r="AI6" t="s">
        <v>117</v>
      </c>
      <c r="AJ6" t="s">
        <v>24</v>
      </c>
      <c r="AK6" t="s">
        <v>118</v>
      </c>
      <c r="AL6" t="s">
        <v>27</v>
      </c>
      <c r="AM6" t="s">
        <v>119</v>
      </c>
      <c r="AN6" t="s">
        <v>21</v>
      </c>
      <c r="AO6" t="s">
        <v>120</v>
      </c>
      <c r="AP6" t="s">
        <v>17</v>
      </c>
      <c r="AQ6" t="s">
        <v>121</v>
      </c>
      <c r="AR6" t="s">
        <v>41</v>
      </c>
      <c r="AS6" t="s">
        <v>122</v>
      </c>
      <c r="AT6" t="s">
        <v>16</v>
      </c>
      <c r="AU6" t="s">
        <v>123</v>
      </c>
      <c r="AV6" t="s">
        <v>19</v>
      </c>
      <c r="AW6" t="s">
        <v>124</v>
      </c>
      <c r="AX6" t="s">
        <v>18</v>
      </c>
      <c r="AY6" t="s">
        <v>125</v>
      </c>
      <c r="AZ6" t="s">
        <v>31</v>
      </c>
      <c r="BA6" t="s">
        <v>126</v>
      </c>
      <c r="BB6" t="s">
        <v>13</v>
      </c>
      <c r="BC6" t="s">
        <v>127</v>
      </c>
      <c r="BD6" t="s">
        <v>35</v>
      </c>
      <c r="BE6" t="s">
        <v>128</v>
      </c>
      <c r="BF6" t="s">
        <v>30</v>
      </c>
      <c r="BG6" t="s">
        <v>129</v>
      </c>
      <c r="BH6" t="s">
        <v>22</v>
      </c>
      <c r="BI6" t="s">
        <v>130</v>
      </c>
      <c r="BJ6" t="s">
        <v>80</v>
      </c>
    </row>
    <row r="7" spans="1:62" x14ac:dyDescent="0.3">
      <c r="A7" s="14" t="s">
        <v>131</v>
      </c>
      <c r="B7" t="s">
        <v>82</v>
      </c>
      <c r="D7" t="s">
        <v>82</v>
      </c>
      <c r="F7" t="s">
        <v>83</v>
      </c>
      <c r="H7" t="s">
        <v>84</v>
      </c>
      <c r="J7" t="s">
        <v>82</v>
      </c>
      <c r="L7" t="s">
        <v>82</v>
      </c>
      <c r="N7" t="s">
        <v>84</v>
      </c>
      <c r="P7" t="s">
        <v>83</v>
      </c>
      <c r="R7" t="s">
        <v>83</v>
      </c>
      <c r="T7" t="s">
        <v>83</v>
      </c>
      <c r="V7" t="s">
        <v>83</v>
      </c>
      <c r="X7" t="s">
        <v>83</v>
      </c>
      <c r="Z7" t="s">
        <v>84</v>
      </c>
      <c r="AB7" t="s">
        <v>83</v>
      </c>
      <c r="AD7" t="s">
        <v>83</v>
      </c>
      <c r="AF7" t="s">
        <v>83</v>
      </c>
      <c r="AH7" t="s">
        <v>83</v>
      </c>
      <c r="AJ7" t="s">
        <v>82</v>
      </c>
      <c r="AL7" t="s">
        <v>83</v>
      </c>
      <c r="AN7" t="s">
        <v>82</v>
      </c>
      <c r="AP7" t="s">
        <v>83</v>
      </c>
      <c r="AR7" t="s">
        <v>84</v>
      </c>
      <c r="AT7" t="s">
        <v>84</v>
      </c>
      <c r="AV7" t="s">
        <v>83</v>
      </c>
      <c r="AX7" t="s">
        <v>84</v>
      </c>
      <c r="AZ7" t="s">
        <v>82</v>
      </c>
      <c r="BB7" t="s">
        <v>82</v>
      </c>
      <c r="BD7" t="s">
        <v>82</v>
      </c>
      <c r="BF7" t="s">
        <v>82</v>
      </c>
      <c r="BH7" t="s">
        <v>82</v>
      </c>
    </row>
    <row r="8" spans="1:62" x14ac:dyDescent="0.3">
      <c r="A8" s="15" t="s">
        <v>88</v>
      </c>
      <c r="B8" s="16">
        <v>21</v>
      </c>
      <c r="C8" s="16">
        <v>21</v>
      </c>
      <c r="D8" s="16">
        <v>23</v>
      </c>
      <c r="E8" s="16">
        <v>23</v>
      </c>
      <c r="F8" s="16">
        <v>20</v>
      </c>
      <c r="G8" s="16">
        <v>20</v>
      </c>
      <c r="H8" s="16">
        <v>18</v>
      </c>
      <c r="I8" s="16">
        <v>18</v>
      </c>
      <c r="J8" s="16">
        <v>23</v>
      </c>
      <c r="K8" s="16">
        <v>23</v>
      </c>
      <c r="L8" s="16">
        <v>18</v>
      </c>
      <c r="M8" s="16">
        <v>18</v>
      </c>
      <c r="N8" s="16">
        <v>18</v>
      </c>
      <c r="O8" s="16">
        <v>18</v>
      </c>
      <c r="P8" s="16">
        <v>21</v>
      </c>
      <c r="Q8" s="16">
        <v>21</v>
      </c>
      <c r="R8" s="16">
        <v>20</v>
      </c>
      <c r="S8" s="16">
        <v>20</v>
      </c>
      <c r="T8" s="16">
        <v>22</v>
      </c>
      <c r="U8" s="16">
        <v>22</v>
      </c>
      <c r="V8" s="16">
        <v>22</v>
      </c>
      <c r="W8" s="16">
        <v>22</v>
      </c>
      <c r="X8" s="16">
        <v>17</v>
      </c>
      <c r="Y8" s="16">
        <v>17</v>
      </c>
      <c r="Z8" s="16">
        <v>16</v>
      </c>
      <c r="AA8" s="16">
        <v>16</v>
      </c>
      <c r="AB8" s="16">
        <v>22</v>
      </c>
      <c r="AC8" s="16">
        <v>22</v>
      </c>
      <c r="AD8" s="16">
        <v>12</v>
      </c>
      <c r="AE8" s="16">
        <v>12</v>
      </c>
      <c r="AF8" s="16">
        <v>22</v>
      </c>
      <c r="AG8" s="16">
        <v>22</v>
      </c>
      <c r="AH8" s="16">
        <v>19</v>
      </c>
      <c r="AI8" s="16">
        <v>19</v>
      </c>
      <c r="AJ8" s="16">
        <v>21</v>
      </c>
      <c r="AK8" s="16">
        <v>21</v>
      </c>
      <c r="AL8" s="16">
        <v>20</v>
      </c>
      <c r="AM8" s="16">
        <v>20</v>
      </c>
      <c r="AN8" s="16">
        <v>25</v>
      </c>
      <c r="AO8" s="16">
        <v>25</v>
      </c>
      <c r="AP8" s="16">
        <v>19</v>
      </c>
      <c r="AQ8" s="16">
        <v>19</v>
      </c>
      <c r="AR8" s="16">
        <v>16</v>
      </c>
      <c r="AS8" s="16">
        <v>16</v>
      </c>
      <c r="AT8" s="16">
        <v>17</v>
      </c>
      <c r="AU8" s="16">
        <v>17</v>
      </c>
      <c r="AV8" s="16">
        <v>22</v>
      </c>
      <c r="AW8" s="16">
        <v>22</v>
      </c>
      <c r="AX8" s="16">
        <v>9</v>
      </c>
      <c r="AY8" s="16">
        <v>9</v>
      </c>
      <c r="AZ8" s="16">
        <v>24</v>
      </c>
      <c r="BA8" s="16">
        <v>24</v>
      </c>
      <c r="BB8" s="16">
        <v>24</v>
      </c>
      <c r="BC8" s="16">
        <v>24</v>
      </c>
      <c r="BD8" s="16">
        <v>22</v>
      </c>
      <c r="BE8" s="16">
        <v>22</v>
      </c>
      <c r="BF8" s="16">
        <v>23</v>
      </c>
      <c r="BG8" s="16">
        <v>23</v>
      </c>
      <c r="BH8" s="16">
        <v>24</v>
      </c>
      <c r="BI8" s="16">
        <v>24</v>
      </c>
      <c r="BJ8" s="16">
        <v>600</v>
      </c>
    </row>
    <row r="9" spans="1:62" x14ac:dyDescent="0.3">
      <c r="A9" s="15" t="s">
        <v>87</v>
      </c>
      <c r="B9" s="16">
        <v>3</v>
      </c>
      <c r="C9" s="16">
        <v>3</v>
      </c>
      <c r="D9" s="16">
        <v>7</v>
      </c>
      <c r="E9" s="16">
        <v>7</v>
      </c>
      <c r="F9" s="16">
        <v>1</v>
      </c>
      <c r="G9" s="16">
        <v>1</v>
      </c>
      <c r="H9" s="16">
        <v>3</v>
      </c>
      <c r="I9" s="16">
        <v>3</v>
      </c>
      <c r="J9" s="16">
        <v>7</v>
      </c>
      <c r="K9" s="16">
        <v>7</v>
      </c>
      <c r="L9" s="16">
        <v>2</v>
      </c>
      <c r="M9" s="16">
        <v>2</v>
      </c>
      <c r="N9" s="16">
        <v>6</v>
      </c>
      <c r="O9" s="16">
        <v>6</v>
      </c>
      <c r="P9" s="16">
        <v>2</v>
      </c>
      <c r="Q9" s="16">
        <v>2</v>
      </c>
      <c r="R9" s="16">
        <v>1</v>
      </c>
      <c r="S9" s="16">
        <v>1</v>
      </c>
      <c r="T9" s="16">
        <v>2</v>
      </c>
      <c r="U9" s="16">
        <v>2</v>
      </c>
      <c r="V9" s="16">
        <v>3</v>
      </c>
      <c r="W9" s="16">
        <v>3</v>
      </c>
      <c r="X9" s="16">
        <v>5</v>
      </c>
      <c r="Y9" s="16">
        <v>5</v>
      </c>
      <c r="Z9" s="16">
        <v>3</v>
      </c>
      <c r="AA9" s="16">
        <v>3</v>
      </c>
      <c r="AB9" s="16">
        <v>0</v>
      </c>
      <c r="AC9" s="16">
        <v>0</v>
      </c>
      <c r="AD9" s="16">
        <v>4</v>
      </c>
      <c r="AE9" s="16">
        <v>4</v>
      </c>
      <c r="AF9" s="16">
        <v>2</v>
      </c>
      <c r="AG9" s="16">
        <v>2</v>
      </c>
      <c r="AH9" s="16">
        <v>1</v>
      </c>
      <c r="AI9" s="16">
        <v>1</v>
      </c>
      <c r="AJ9" s="16">
        <v>3</v>
      </c>
      <c r="AK9" s="16">
        <v>3</v>
      </c>
      <c r="AL9" s="16">
        <v>3</v>
      </c>
      <c r="AM9" s="16">
        <v>3</v>
      </c>
      <c r="AN9" s="16">
        <v>7</v>
      </c>
      <c r="AO9" s="16">
        <v>7</v>
      </c>
      <c r="AP9" s="16">
        <v>8</v>
      </c>
      <c r="AQ9" s="16">
        <v>8</v>
      </c>
      <c r="AR9" s="16">
        <v>4</v>
      </c>
      <c r="AS9" s="16">
        <v>4</v>
      </c>
      <c r="AT9" s="16">
        <v>5</v>
      </c>
      <c r="AU9" s="16">
        <v>5</v>
      </c>
      <c r="AV9" s="16">
        <v>16</v>
      </c>
      <c r="AW9" s="16">
        <v>16</v>
      </c>
      <c r="AX9" s="16">
        <v>6</v>
      </c>
      <c r="AY9" s="16">
        <v>6</v>
      </c>
      <c r="AZ9" s="16">
        <v>1</v>
      </c>
      <c r="BA9" s="16">
        <v>1</v>
      </c>
      <c r="BB9" s="16">
        <v>3</v>
      </c>
      <c r="BC9" s="16">
        <v>3</v>
      </c>
      <c r="BD9" s="16">
        <v>2</v>
      </c>
      <c r="BE9" s="16">
        <v>2</v>
      </c>
      <c r="BF9" s="16">
        <v>2</v>
      </c>
      <c r="BG9" s="16">
        <v>2</v>
      </c>
      <c r="BH9" s="16">
        <v>0</v>
      </c>
      <c r="BI9" s="16">
        <v>0</v>
      </c>
      <c r="BJ9" s="16">
        <v>112</v>
      </c>
    </row>
    <row r="10" spans="1:62" x14ac:dyDescent="0.3">
      <c r="A10" s="15" t="s">
        <v>86</v>
      </c>
      <c r="B10" s="16">
        <v>2</v>
      </c>
      <c r="C10" s="16">
        <v>2</v>
      </c>
      <c r="D10" s="16">
        <v>0</v>
      </c>
      <c r="E10" s="16">
        <v>0</v>
      </c>
      <c r="F10" s="16">
        <v>2</v>
      </c>
      <c r="G10" s="16">
        <v>2</v>
      </c>
      <c r="H10" s="16">
        <v>0</v>
      </c>
      <c r="I10" s="16">
        <v>0</v>
      </c>
      <c r="J10" s="16">
        <v>0</v>
      </c>
      <c r="K10" s="16">
        <v>0</v>
      </c>
      <c r="L10" s="16">
        <v>5</v>
      </c>
      <c r="M10" s="16">
        <v>5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3</v>
      </c>
      <c r="Y10" s="16">
        <v>3</v>
      </c>
      <c r="Z10" s="16">
        <v>2</v>
      </c>
      <c r="AA10" s="16">
        <v>2</v>
      </c>
      <c r="AB10" s="16">
        <v>0</v>
      </c>
      <c r="AC10" s="16">
        <v>0</v>
      </c>
      <c r="AD10" s="16">
        <v>10</v>
      </c>
      <c r="AE10" s="16">
        <v>10</v>
      </c>
      <c r="AF10" s="16">
        <v>0</v>
      </c>
      <c r="AG10" s="16">
        <v>0</v>
      </c>
      <c r="AH10" s="16">
        <v>0</v>
      </c>
      <c r="AI10" s="16">
        <v>0</v>
      </c>
      <c r="AJ10" s="16">
        <v>2</v>
      </c>
      <c r="AK10" s="16">
        <v>2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1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1</v>
      </c>
      <c r="BE10" s="16">
        <v>1</v>
      </c>
      <c r="BF10" s="16">
        <v>1</v>
      </c>
      <c r="BG10" s="16">
        <v>1</v>
      </c>
      <c r="BH10" s="16">
        <v>0</v>
      </c>
      <c r="BI10" s="16">
        <v>0</v>
      </c>
      <c r="BJ10" s="16">
        <v>30</v>
      </c>
    </row>
    <row r="11" spans="1:62" x14ac:dyDescent="0.3">
      <c r="A11" s="15" t="s">
        <v>81</v>
      </c>
      <c r="B11" s="16">
        <v>23</v>
      </c>
      <c r="C11" s="16">
        <v>23</v>
      </c>
      <c r="D11" s="16">
        <v>25</v>
      </c>
      <c r="E11" s="16">
        <v>25</v>
      </c>
      <c r="F11" s="16">
        <v>23</v>
      </c>
      <c r="G11" s="16">
        <v>23</v>
      </c>
      <c r="H11" s="16">
        <v>25</v>
      </c>
      <c r="I11" s="16">
        <v>25</v>
      </c>
      <c r="J11" s="16">
        <v>25</v>
      </c>
      <c r="K11" s="16">
        <v>25</v>
      </c>
      <c r="L11" s="16">
        <v>20</v>
      </c>
      <c r="M11" s="16">
        <v>20</v>
      </c>
      <c r="N11" s="16">
        <v>25</v>
      </c>
      <c r="O11" s="16">
        <v>25</v>
      </c>
      <c r="P11" s="16">
        <v>25</v>
      </c>
      <c r="Q11" s="16">
        <v>25</v>
      </c>
      <c r="R11" s="16">
        <v>25</v>
      </c>
      <c r="S11" s="16">
        <v>25</v>
      </c>
      <c r="T11" s="16">
        <v>25</v>
      </c>
      <c r="U11" s="16">
        <v>25</v>
      </c>
      <c r="V11" s="16">
        <v>25</v>
      </c>
      <c r="W11" s="16">
        <v>25</v>
      </c>
      <c r="X11" s="16">
        <v>22</v>
      </c>
      <c r="Y11" s="16">
        <v>22</v>
      </c>
      <c r="Z11" s="16">
        <v>23</v>
      </c>
      <c r="AA11" s="16">
        <v>23</v>
      </c>
      <c r="AB11" s="16">
        <v>25</v>
      </c>
      <c r="AC11" s="16">
        <v>25</v>
      </c>
      <c r="AD11" s="16">
        <v>15</v>
      </c>
      <c r="AE11" s="16">
        <v>15</v>
      </c>
      <c r="AF11" s="16">
        <v>25</v>
      </c>
      <c r="AG11" s="16">
        <v>25</v>
      </c>
      <c r="AH11" s="16">
        <v>25</v>
      </c>
      <c r="AI11" s="16">
        <v>25</v>
      </c>
      <c r="AJ11" s="16">
        <v>23</v>
      </c>
      <c r="AK11" s="16">
        <v>23</v>
      </c>
      <c r="AL11" s="16">
        <v>24</v>
      </c>
      <c r="AM11" s="16">
        <v>24</v>
      </c>
      <c r="AN11" s="16">
        <v>25</v>
      </c>
      <c r="AO11" s="16">
        <v>25</v>
      </c>
      <c r="AP11" s="16">
        <v>25</v>
      </c>
      <c r="AQ11" s="16">
        <v>25</v>
      </c>
      <c r="AR11" s="16">
        <v>24</v>
      </c>
      <c r="AS11" s="16">
        <v>24</v>
      </c>
      <c r="AT11" s="16">
        <v>25</v>
      </c>
      <c r="AU11" s="16">
        <v>25</v>
      </c>
      <c r="AV11" s="16">
        <v>25</v>
      </c>
      <c r="AW11" s="16">
        <v>25</v>
      </c>
      <c r="AX11" s="16">
        <v>25</v>
      </c>
      <c r="AY11" s="16">
        <v>25</v>
      </c>
      <c r="AZ11" s="16">
        <v>25</v>
      </c>
      <c r="BA11" s="16">
        <v>25</v>
      </c>
      <c r="BB11" s="16">
        <v>25</v>
      </c>
      <c r="BC11" s="16">
        <v>25</v>
      </c>
      <c r="BD11" s="16">
        <v>24</v>
      </c>
      <c r="BE11" s="16">
        <v>24</v>
      </c>
      <c r="BF11" s="16">
        <v>24</v>
      </c>
      <c r="BG11" s="16">
        <v>24</v>
      </c>
      <c r="BH11" s="16">
        <v>25</v>
      </c>
      <c r="BI11" s="16">
        <v>25</v>
      </c>
      <c r="BJ11" s="16">
        <v>720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"/>
  <sheetViews>
    <sheetView workbookViewId="0">
      <selection activeCell="H3" sqref="H3"/>
    </sheetView>
  </sheetViews>
  <sheetFormatPr defaultRowHeight="14.4" x14ac:dyDescent="0.3"/>
  <cols>
    <col min="1" max="1" width="12.5546875" customWidth="1"/>
    <col min="2" max="2" width="16.109375" customWidth="1"/>
    <col min="3" max="3" width="13.44140625" customWidth="1"/>
    <col min="4" max="4" width="13.88671875" customWidth="1"/>
    <col min="5" max="5" width="12.33203125" customWidth="1"/>
    <col min="6" max="6" width="17" bestFit="1" customWidth="1"/>
  </cols>
  <sheetData>
    <row r="3" spans="1:6" x14ac:dyDescent="0.3">
      <c r="A3" s="14" t="s">
        <v>79</v>
      </c>
      <c r="B3" t="s">
        <v>81</v>
      </c>
      <c r="C3" t="s">
        <v>87</v>
      </c>
      <c r="D3" t="s">
        <v>88</v>
      </c>
      <c r="E3" t="s">
        <v>86</v>
      </c>
      <c r="F3" t="s">
        <v>85</v>
      </c>
    </row>
    <row r="4" spans="1:6" x14ac:dyDescent="0.3">
      <c r="A4" s="15" t="s">
        <v>82</v>
      </c>
      <c r="B4" s="16">
        <v>264</v>
      </c>
      <c r="C4" s="16">
        <v>37</v>
      </c>
      <c r="D4" s="16">
        <v>248</v>
      </c>
      <c r="E4" s="16">
        <v>11</v>
      </c>
      <c r="F4" s="16">
        <v>1032.108695652174</v>
      </c>
    </row>
    <row r="5" spans="1:6" x14ac:dyDescent="0.3">
      <c r="A5" s="15" t="s">
        <v>83</v>
      </c>
      <c r="B5" s="16">
        <v>309</v>
      </c>
      <c r="C5" s="16">
        <v>48</v>
      </c>
      <c r="D5" s="16">
        <v>258</v>
      </c>
      <c r="E5" s="16">
        <v>16</v>
      </c>
      <c r="F5" s="16">
        <v>1083.562582345191</v>
      </c>
    </row>
    <row r="6" spans="1:6" x14ac:dyDescent="0.3">
      <c r="A6" s="15" t="s">
        <v>84</v>
      </c>
      <c r="B6" s="16">
        <v>147</v>
      </c>
      <c r="C6" s="16">
        <v>27</v>
      </c>
      <c r="D6" s="16">
        <v>94</v>
      </c>
      <c r="E6" s="16">
        <v>3</v>
      </c>
      <c r="F6" s="16">
        <v>384.231884057971</v>
      </c>
    </row>
    <row r="7" spans="1:6" x14ac:dyDescent="0.3">
      <c r="A7" s="15" t="s">
        <v>80</v>
      </c>
      <c r="B7" s="16">
        <v>720</v>
      </c>
      <c r="C7" s="16">
        <v>112</v>
      </c>
      <c r="D7" s="16">
        <v>600</v>
      </c>
      <c r="E7" s="16">
        <v>30</v>
      </c>
      <c r="F7" s="16">
        <v>2499.903162055336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N9" sqref="N9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89</v>
      </c>
    </row>
    <row r="3" spans="1:1" x14ac:dyDescent="0.3">
      <c r="A3" t="s">
        <v>90</v>
      </c>
    </row>
    <row r="4" spans="1:1" x14ac:dyDescent="0.3">
      <c r="A4" t="s">
        <v>91</v>
      </c>
    </row>
    <row r="5" spans="1:1" x14ac:dyDescent="0.3">
      <c r="A5" t="s">
        <v>92</v>
      </c>
    </row>
    <row r="6" spans="1:1" x14ac:dyDescent="0.3">
      <c r="A6" t="s">
        <v>93</v>
      </c>
    </row>
    <row r="7" spans="1:1" x14ac:dyDescent="0.3">
      <c r="A7" t="s">
        <v>94</v>
      </c>
    </row>
    <row r="8" spans="1:1" x14ac:dyDescent="0.3">
      <c r="A8" t="s">
        <v>95</v>
      </c>
    </row>
    <row r="9" spans="1:1" x14ac:dyDescent="0.3">
      <c r="A9" t="s">
        <v>96</v>
      </c>
    </row>
    <row r="10" spans="1:1" x14ac:dyDescent="0.3">
      <c r="A10" t="s">
        <v>97</v>
      </c>
    </row>
    <row r="11" spans="1:1" x14ac:dyDescent="0.3">
      <c r="A11" t="s">
        <v>98</v>
      </c>
    </row>
    <row r="12" spans="1:1" x14ac:dyDescent="0.3">
      <c r="A1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 sheet</vt:lpstr>
      <vt:lpstr>Pivot Table</vt:lpstr>
      <vt:lpstr>Sheet2</vt:lpstr>
      <vt:lpstr>Month Name 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2026-03-27T08:48:28Z</dcterms:created>
  <dcterms:modified xsi:type="dcterms:W3CDTF">2026-03-30T08:01:58Z</dcterms:modified>
</cp:coreProperties>
</file>